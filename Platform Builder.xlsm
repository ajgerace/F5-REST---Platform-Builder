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vmware-host\Shared Folders\Downloads 2\"/>
    </mc:Choice>
  </mc:AlternateContent>
  <bookViews>
    <workbookView xWindow="585" yWindow="555" windowWidth="28155" windowHeight="15345" tabRatio="500"/>
  </bookViews>
  <sheets>
    <sheet name="Sheet1" sheetId="1" r:id="rId1"/>
    <sheet name="REST" sheetId="2" r:id="rId2"/>
    <sheet name="TMSH" sheetId="4" r:id="rId3"/>
    <sheet name="CURL" sheetId="3" r:id="rId4"/>
  </sheets>
  <externalReferences>
    <externalReference r:id="rId5"/>
  </externalReferences>
  <definedNames>
    <definedName name="port_lockdown">[1]Sheet1!$B$77:$B$79</definedName>
    <definedName name="timezone_list">[1]Sheet1!$B$81:$B$83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8" i="2" l="1"/>
  <c r="E19" i="2"/>
  <c r="E17" i="2"/>
  <c r="E25" i="2"/>
  <c r="E48" i="2"/>
  <c r="D48" i="2"/>
  <c r="B7" i="3"/>
  <c r="D27" i="2"/>
  <c r="E27" i="2"/>
  <c r="B6" i="3"/>
  <c r="C27" i="3"/>
  <c r="C28" i="4"/>
  <c r="D46" i="2"/>
  <c r="E46" i="2"/>
  <c r="C47" i="3"/>
  <c r="C44" i="4"/>
  <c r="C11" i="4"/>
  <c r="C45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6" i="4"/>
  <c r="B30" i="1"/>
  <c r="D30" i="1"/>
  <c r="C23" i="4"/>
  <c r="B31" i="1"/>
  <c r="D31" i="1"/>
  <c r="C24" i="4"/>
  <c r="B29" i="1"/>
  <c r="D29" i="1"/>
  <c r="C22" i="4"/>
  <c r="C19" i="4"/>
  <c r="C20" i="4"/>
  <c r="C18" i="4"/>
  <c r="C15" i="4"/>
  <c r="C14" i="4"/>
  <c r="C12" i="4"/>
  <c r="C47" i="4"/>
  <c r="E44" i="2"/>
  <c r="E43" i="2"/>
  <c r="D44" i="2"/>
  <c r="C45" i="3"/>
  <c r="D43" i="2"/>
  <c r="C44" i="3"/>
  <c r="E41" i="2"/>
  <c r="D41" i="2"/>
  <c r="C41" i="3"/>
  <c r="E40" i="2"/>
  <c r="D40" i="2"/>
  <c r="C40" i="3"/>
  <c r="E39" i="2"/>
  <c r="D39" i="2"/>
  <c r="C39" i="3"/>
  <c r="E38" i="2"/>
  <c r="D38" i="2"/>
  <c r="C38" i="3"/>
  <c r="E37" i="2"/>
  <c r="D37" i="2"/>
  <c r="C37" i="3"/>
  <c r="E36" i="2"/>
  <c r="D36" i="2"/>
  <c r="C36" i="3"/>
  <c r="E35" i="2"/>
  <c r="D35" i="2"/>
  <c r="C35" i="3"/>
  <c r="E34" i="2"/>
  <c r="D34" i="2"/>
  <c r="C34" i="3"/>
  <c r="E33" i="2"/>
  <c r="D33" i="2"/>
  <c r="C33" i="3"/>
  <c r="E32" i="2"/>
  <c r="D32" i="2"/>
  <c r="C32" i="3"/>
  <c r="E31" i="2"/>
  <c r="D31" i="2"/>
  <c r="C31" i="3"/>
  <c r="E30" i="2"/>
  <c r="D30" i="2"/>
  <c r="C30" i="3"/>
  <c r="E29" i="2"/>
  <c r="D29" i="2"/>
  <c r="C29" i="3"/>
  <c r="D25" i="2"/>
  <c r="C25" i="3"/>
  <c r="E23" i="2"/>
  <c r="D23" i="2"/>
  <c r="C23" i="3"/>
  <c r="E22" i="2"/>
  <c r="D22" i="2"/>
  <c r="C22" i="3"/>
  <c r="E21" i="2"/>
  <c r="D21" i="2"/>
  <c r="C21" i="3"/>
  <c r="D19" i="2"/>
  <c r="C19" i="3"/>
  <c r="D18" i="2"/>
  <c r="C18" i="3"/>
  <c r="D17" i="2"/>
  <c r="C17" i="3"/>
  <c r="E15" i="2"/>
  <c r="D15" i="2"/>
  <c r="C15" i="3"/>
  <c r="E14" i="2"/>
  <c r="D14" i="2"/>
  <c r="C14" i="3"/>
  <c r="D12" i="2"/>
  <c r="E12" i="2"/>
  <c r="C12" i="3"/>
  <c r="D11" i="2"/>
  <c r="E11" i="2"/>
  <c r="C11" i="3"/>
</calcChain>
</file>

<file path=xl/sharedStrings.xml><?xml version="1.0" encoding="utf-8"?>
<sst xmlns="http://schemas.openxmlformats.org/spreadsheetml/2006/main" count="197" uniqueCount="106">
  <si>
    <t>Platform</t>
  </si>
  <si>
    <t>f5customer</t>
  </si>
  <si>
    <t>Host Name (FQDN)</t>
  </si>
  <si>
    <t>Management IP Address</t>
  </si>
  <si>
    <t>Yes</t>
  </si>
  <si>
    <t>Time Zone</t>
  </si>
  <si>
    <t>DNS Server IP</t>
  </si>
  <si>
    <t>NTP Server IP</t>
  </si>
  <si>
    <t>VLAN Name</t>
  </si>
  <si>
    <t>Tag</t>
  </si>
  <si>
    <t>Interface</t>
  </si>
  <si>
    <t>ext</t>
  </si>
  <si>
    <t>int</t>
  </si>
  <si>
    <t>Name</t>
  </si>
  <si>
    <t>IP/CIDR</t>
  </si>
  <si>
    <t>VLAN</t>
  </si>
  <si>
    <t>Allowed Services</t>
  </si>
  <si>
    <t>none</t>
  </si>
  <si>
    <t>Destination</t>
  </si>
  <si>
    <t>Netmask</t>
  </si>
  <si>
    <t>Gateway</t>
  </si>
  <si>
    <t>default</t>
  </si>
  <si>
    <t>0.0.0.0</t>
  </si>
  <si>
    <t>Create base profiles</t>
  </si>
  <si>
    <t>Create base monitor</t>
  </si>
  <si>
    <t xml:space="preserve">Name prefix </t>
  </si>
  <si>
    <t>Network - VLAN Configuration</t>
  </si>
  <si>
    <t>Network - Self IP Configuration</t>
  </si>
  <si>
    <t>Network - Route Configuration</t>
  </si>
  <si>
    <t>Method</t>
  </si>
  <si>
    <t>Host with Path</t>
  </si>
  <si>
    <t>JSON Body</t>
  </si>
  <si>
    <t>Description</t>
  </si>
  <si>
    <t xml:space="preserve">Disable GUI Setup </t>
  </si>
  <si>
    <t>Set hostname</t>
  </si>
  <si>
    <t>Set DNS Resolver</t>
  </si>
  <si>
    <t>Set NTP servers and Timezone</t>
  </si>
  <si>
    <t>PATCH</t>
  </si>
  <si>
    <t>Create VLAN</t>
  </si>
  <si>
    <t>Create Self IP</t>
  </si>
  <si>
    <t>Create default route</t>
  </si>
  <si>
    <t>POST</t>
  </si>
  <si>
    <t>Create HTTP Profile</t>
  </si>
  <si>
    <t>Create client-ssl profile</t>
  </si>
  <si>
    <t>Create server-ssl profile</t>
  </si>
  <si>
    <t>Create one-connect profile</t>
  </si>
  <si>
    <t>Create TCP lan optimized profile</t>
  </si>
  <si>
    <t>Create TCP wan optimized profile</t>
  </si>
  <si>
    <t>Create UDP profile</t>
  </si>
  <si>
    <t>Create fastL4 profile</t>
  </si>
  <si>
    <t xml:space="preserve">Create session cookie persistence profile </t>
  </si>
  <si>
    <t>Create source IP persistence profile</t>
  </si>
  <si>
    <t>Create HTTP head monitor</t>
  </si>
  <si>
    <t>Create HTTPS head monitor</t>
  </si>
  <si>
    <t>Create TCP monitor</t>
  </si>
  <si>
    <t>Create single config file</t>
  </si>
  <si>
    <t>Create configuration archive</t>
  </si>
  <si>
    <t>Load default configuration</t>
  </si>
  <si>
    <t>X-F5-Auth-Token</t>
  </si>
  <si>
    <t>Create Monitor and Profile templates</t>
  </si>
  <si>
    <t>Command</t>
  </si>
  <si>
    <t>Set remote syslog server</t>
  </si>
  <si>
    <t>Create archive</t>
  </si>
  <si>
    <t>Reset to default</t>
  </si>
  <si>
    <t>Required Headers</t>
  </si>
  <si>
    <t>Rest to factory default</t>
  </si>
  <si>
    <t>Change Device Objects name</t>
  </si>
  <si>
    <t>Enter BIG-IP Hostname</t>
  </si>
  <si>
    <t>Enter DNS Resolver IP address</t>
  </si>
  <si>
    <t>Enter Timezone</t>
  </si>
  <si>
    <t>{"kind":"tm:sys:global-settings:global-settingsstate","selfLink":"https://localhost/mgmt/tm/sys/global-settings?ver=12.1.1","awsApiMaxConcurrency":1,"consoleInactivityTimeout":0,"customAddr":"none","failsafeAction":"go-offline-restart-tm","fileBlacklistPathPrefix":"{/shared/3dns/} {/shared/bin/} {/shared/core/} {/shared/datasync/} {/shared/em/} {/shared/GeoIP/} {/shared/images/} {/shared/lib/} {/shared/lib64/} {/shared/log/} {/shared/lost+found/} {/shared/mgmt/} {/shared/nfb/} {/shared/ssh/} {/shared/statsd/} {/shared/tmstat/} {/shared/vadc/} {/config/aaa/} {/config/big3d/} {/config/bigip/} {/config/filestore/} {/config/gtm/} {/config/httpd/} {/config/ntp.conf} {/config/rndc.key} {/config/ssh/} {/config/ssl/}","fileBlacklistReadOnlyPathPrefix":"{/etc/shadow}","fileLocalPathPrefix":"{/shared/} {/tmp/}","fileWhitelistPathPrefix":"{/var/local/scf} {/tmp/} {/shared/} {/config/} {/usr/share/aws/}","guiSecurityBanner":"enabled","guiSecurityBannerText":"Welcome to the BIG-IP Configuration Utility.\n\nLog in with your username and password using the fields on the left.","guiSetup":"disabled","hostAddrMode":"management","hostname":"bigip1","lcdDisplay":"enabled","ledLocator":"disabled","mgmtDhcp":"disabled","netReboot":"disabled","passwordPrompt":"Password","quietBoot":"enabled","usernamePrompt":"Username"}</t>
  </si>
  <si>
    <t>{"kind":"tm:sys:global-settings:global-settingsstate","selfLink":"https://localhost/mgmt/tm/sys/global-settings?ver=12.1.1","awsApiMaxConcurrency":1,"consoleInactivityTimeout":0,"customAddr":"none","failsafeAction":"go-offline-restart-tm","fileBlacklistPathPrefix":"{/shared/3dns/} {/shared/bin/} {/shared/core/} {/shared/datasync/} {/shared/em/} {/shared/GeoIP/} {/shared/images/} {/shared/lib/} {/shared/lib64/} {/shared/log/} {/shared/lost+found/} {/shared/mgmt/} {/shared/nfb/} {/shared/ssh/} {/shared/statsd/} {/shared/tmstat/} {/shared/vadc/} {/config/aaa/} {/config/big3d/} {/config/bigip/} {/config/filestore/} {/config/gtm/} {/config/httpd/} {/config/ntp.conf} {/config/rndc.key} {/config/ssh/} {/config/ssl/}","fileBlacklistReadOnlyPathPrefix":"{/etc/shadow}","fileLocalPathPrefix":"{/shared/} {/tmp/}","fileWhitelistPathPrefix":"{/var/local/scf} {/tmp/} {/shared/} {/config/} {/usr/share/aws/}","guiSecurityBanner":"enabled","guiSecurityBannerText":"Welcome to the BIG-IP Configuration Utility.\n\nLog in with your username and password using the fields on the left.","guiSetup":"disabled","hostAddrMode":"management","hostname":"vadc06.f5demo.org","lcdDisplay":"enabled","ledLocator":"disabled","mgmtDhcp":"disabled","netReboot":"disabled","passwordPrompt":"Password","quietBoot":"enabled","usernamePrompt":"Username"}</t>
  </si>
  <si>
    <t>{"kind":"tm:sys:dns:dnsstate","selfLink":"https://localhost/mgmt/tm/sys/dns?ver=12.1.1","nameServers":["192.168.1.1"],"numberOfDots":0,"search":["localhost"]}</t>
  </si>
  <si>
    <t>{"kind":"tm:sys:ntp:ntpstate","selfLink":"https://localhost/mgmt/tm/sys/ntp?ver=12.1.1","servers":["192.168.1.1"],"timezone":"America/New_York","restrictReference":{"link":"https://localhost/mgmt/tm/sys/ntp/restrict?ver=12.1.1","isSubcollection":true}}</t>
  </si>
  <si>
    <t>Save configuration</t>
  </si>
  <si>
    <t>{"kind":"tm:ltm:monitor:http:httpstate","name":"f5demo-http-head","partition":"Common","fullPath":"/Common/f5demo-http-head","generation":0,"selfLink":"https://localhost/mgmt/tm/ltm/monitor/http/~Common~f5demo-http-head?ver=12.1.1","adaptive":"disabled","adaptiveDivergenceType":"relative","adaptiveDivergenceValue":25,"adaptiveLimit":200,"adaptiveSamplingTimespan":300,"defaultsFrom":"/Common/http_head_f5","destination":"*:*","interval":5,"ipDscp":0,"manualResume":"disabled","recv":"Server\\:","reverse":"disabled","send":"HEAD / HTTP/1.0\\r\\n\\r\\n","timeUntilUp":0,"timeout":16,"transparent":"disabled","upInterval":0}</t>
  </si>
  <si>
    <t>{"kind":"tm:ltm:monitor:https:httpsstate","name":"f5demo-https-head","partition":"Common","fullPath":"/Common/f5demo-https-head","generation":0,"selfLink":"https://localhost/mgmt/tm/ltm/monitor/https/~Common~f5demo-https-head?ver=12.1.1","adaptive":"disabled","adaptiveDivergenceType":"relative","adaptiveDivergenceValue":25,"adaptiveLimit":200,"adaptiveSamplingTimespan":300,"cipherlist":"DEFAULT:+SHA:+3DES:+kEDH","compatibility":"enabled","defaultsFrom":"/Common/https_head_f5","destination":"*:*","interval":5,"ipDscp":0,"manualResume":"disabled","recv":"Server\\:","reverse":"disabled","send":"HEAD / HTTP/1.0\\r\\n\\r\\n","timeUntilUp":0,"timeout":16,"transparent":"disabled","upInterval":0}</t>
  </si>
  <si>
    <t>{"kind":"tm:ltm:monitor:tcp:tcpstate","name":"f5demo-mon-tcp","partition":"Common","fullPath":"/Common/f5demo-mon-tcp","generation":0,"selfLink":"https://localhost/mgmt/tm/ltm/monitor/tcp/~Common~f5demo-mon-tcp?ver=12.1.1","adaptive":"disabled","adaptiveDivergenceType":"relative","adaptiveDivergenceValue":25,"adaptiveLimit":200,"adaptiveSamplingTimespan":300,"defaultsFrom":"/Common/tcp","destination":"*:*","interval":5,"ipDscp":0,"manualResume":"disabled","reverse":"disabled","timeUntilUp":0,"timeout":16,"transparent":"disabled","upInterval":0}</t>
  </si>
  <si>
    <t>{"kind":"tm:cm:device:mvstate","command":"mv","name":"bigip1","target":"vadc06.f5demo.org"}</t>
  </si>
  <si>
    <t>{"kind":"tm:net:self:selfstate","name":"ext-self","partition":"Common","fullPath":"/Common/ext-self","generation":35,"selfLink":"https://localhost/mgmt/tm/net/self/~Common~ext-self?ver=12.1.1","address":"10.0.1.46/24","addressSource":"from-user","floating":"disabled","inheritedTrafficGroup":"false","trafficGroup":"/Common/traffic-group-local-only","trafficGroupReference":{"link":"https://localhost/mgmt/tm/cm/traffic-group/~Common~traffic-group-local-only?ver=12.1.1"},"unit":0,"vlan":"/Common/ext","vlanReference":{"link":"https://localhost/mgmt/tm/net/vlan/~Common~ext?ver=12.1.1"}}</t>
  </si>
  <si>
    <t>{"kind":"tm:net:self:selfstate","name":"int-self","partition":"Common","fullPath":"/Common/int-self","generation":36,"selfLink":"https://localhost/mgmt/tm/net/self/~Common~int-self?ver=12.1.1","address":"10.128.20.46/24","addressSource":"from-user","floating":"disabled","inheritedTrafficGroup":"false","trafficGroup":"/Common/traffic-group-local-only","trafficGroupReference":{"link":"https://localhost/mgmt/tm/cm/traffic-group/~Common~traffic-group-local-only?ver=12.1.1"},"unit":0,"vlan":"/Common/int","vlanReference":{"link":"https://localhost/mgmt/tm/net/vlan/~Common~int?ver=12.1.1"}}</t>
  </si>
  <si>
    <t>{"kind":"tm:net:self:selfstate","name":"peer-self","partition":"Common","fullPath":"/Common/peer-self","generation":37,"selfLink":"https://localhost/mgmt/tm/net/self/~Common~peer-self?ver=12.1.1","address":"10.255.255.45/24","addressSource":"from-user","floating":"disabled","inheritedTrafficGroup":"false","trafficGroup":"/Common/traffic-group-local-only","trafficGroupReference":{"link":"https://localhost/mgmt/tm/cm/traffic-group/~Common~traffic-group-local-only?ver=12.1.1"},"unit":0,"vlan":"/Common/peer","vlanReference":{"link":"https://localhost/mgmt/tm/net/vlan/~Common~peer?ver=12.1.1"}}</t>
  </si>
  <si>
    <t>{"kind":"tm:net:route:routestate","name":"default","partition":"Common","fullPath":"/Common/default","generation":38,"selfLink":"https://localhost/mgmt/tm/net/route/~Common~default?ver=12.1.1","gw":"10.0.1.254","mtu":0,"network":"default"}</t>
  </si>
  <si>
    <t>{"kind":"tm:ltm:profile:http:httpstate","name":"f5demo-http","partition":"Common","fullPath":"/Common/f5demo-http","generation":45,"selfLink":"https://localhost/mgmt/tm/ltm/profile/http/~Common~f5demo-http?ver=12.1.1","acceptXff":"disabled","defaultsFrom":"/Common/http","defaultsFromReference":{"link":"https://localhost/mgmt/tm/ltm/profile/http/~Common~http?ver=12.1.1"},"enforcement":{"excessClientHeaders":"reject","excessServerHeaders":"reject","knownMethods":["CONNECT","DELETE","GET","HEAD","LOCK","OPTIONS","POST","PROPFIND","PUT","TRACE","UNLOCK"],"maxHeaderCount":64,"maxHeaderSize":32768,"maxRequests":0,"oversizeClientHeaders":"reject","oversizeServerHeaders":"reject","pipeline":"allow","truncatedRedirects":"disabled","unknownMethod":"allow"},"explicitProxy":{"defaultConnectHandling":"deny"},"hsts":{"includeSubdomains":"enabled","maximumAge":16070400,"mode":"disabled"},"insertXforwardedFor":"enabled","lwsWidth":80,"oneconnectTransformations":"enabled","proxyType":"reverse","redirectRewrite":"none","requestChunking":"preserve","responseChunking":"selective","serverAgentName":"BigIP","sflow":{"pollInterval":0,"pollIntervalGlobal":"yes","samplingRate":0,"samplingRateGlobal":"yes"},"viaRequest":"preserve","viaResponse":"preserve"}</t>
  </si>
  <si>
    <t>{"kind":"tm:ltm:profile:client-ssl:client-sslstate","name":"f5demo-clientssl","partition":"Common","fullPath":"/Common/f5demo-clientssl","generation":46,"selfLink":"https://localhost/mgmt/tm/ltm/profile/client-ssl/~Common~f5demo-clientssl?ver=12.1.1","alertTimeout":"indefinite","allowDynamicRecordSizing":"disabled","allowExpiredCrl":"disabled","allowNonSsl":"disabled","authenticate":"once","authenticateDepth":9,"cacheSize":262144,"cacheTimeout":3600,"cert":"/Common/default.crt","certReference":{"link":"https://localhost/mgmt/tm/sys/file/ssl-cert/~Common~default.crt?ver=12.1.1"},"certExtensionIncludes":["basic-constraints","subject-alternative-name"],"certLifespan":30,"certLookupByIpaddrPort":"disabled","ciphers":"DEFAULT","defaultsFrom":"/Common/clientssl","defaultsFromReference":{"link":"https://localhost/mgmt/tm/ltm/profile/client-ssl/~Common~clientssl?ver=12.1.1"},"forwardProxyBypassDefaultAction":"intercept","genericAlert":"enabled","handshakeTimeout":"10","inheritCertkeychain":"true","key":"/Common/default.key","keyReference":{"link":"https://localhost/mgmt/tm/sys/file/ssl-key/~Common~default.key?ver=12.1.1"},"maxActiveHandshakes":"indefinite","maxAggregateRenegotiationPerMinute":"indefinite","maxRenegotiationsPerMinute":5,"maximumRecordSize":16384,"modSslMethods":"disabled","mode":"enabled","tmOptions":["dont-insert-empty-fragments"],"peerCertMode":"ignore","peerNoRenegotiateTimeout":"10","proxySsl":"disabled","proxySslPassthrough":"disabled","renegotiateMaxRecordDelay":"indefinite","renegotiatePeriod":"indefinite","renegotiateSize":"indefinite","renegotiation":"enabled","retainCertificate":"true","secureRenegotiation":"require","sessionMirroring":"disabled","sessionTicket":"disabled","sessionTicketTimeout":0,"sniDefault":"false","sniRequire":"false","sslForwardProxy":"disabled","sslForwardProxyBypass":"disabled","sslSignHash":"any","strictResume":"disabled","uncleanShutdown":"enabled","certKeyChain":[{"name":"default","cert":"/Common/default.crt","certReference":{"link":"https://localhost/mgmt/tm/sys/file/ssl-cert/~Common~default.crt?ver=12.1.1"},"key":"/Common/default.key","keyReference":{"link":"https://localhost/mgmt/tm/sys/file/ssl-key/~Common~default.key?ver=12.1.1"}}]}</t>
  </si>
  <si>
    <t>{"kind":"tm:ltm:profile:server-ssl:server-sslstate","name":"f5demo-serverssl","partition":"Common","fullPath":"/Common/f5demo-serverssl","generation":47,"selfLink":"https://localhost/mgmt/tm/ltm/profile/server-ssl/~Common~f5demo-serverssl?ver=12.1.1","alertTimeout":"indefinite","allowExpiredCrl":"disabled","authenticate":"once","authenticateDepth":9,"cacheSize":262144,"cacheTimeout":3600,"ciphers":"DEFAULT","defaultsFrom":"/Common/serverssl","defaultsFromReference":{"link":"https://localhost/mgmt/tm/ltm/profile/server-ssl/~Common~serverssl?ver=12.1.1"},"expireCertResponseControl":"drop","genericAlert":"enabled","handshakeTimeout":"10","maxActiveHandshakes":"indefinite","modSslMethods":"disabled","mode":"enabled","tmOptions":["dont-insert-empty-fragments"],"peerCertMode":"ignore","proxySsl":"disabled","proxySslPassthrough":"disabled","renegotiatePeriod":"indefinite","renegotiateSize":"indefinite","renegotiation":"enabled","retainCertificate":"true","secureRenegotiation":"require-strict","sessionMirroring":"disabled","sessionTicket":"disabled","sniDefault":"false","sniRequire":"false","sslForwardProxy":"disabled","sslForwardProxyBypass":"disabled","sslSignHash":"any","strictResume":"disabled","uncleanShutdown":"enabled","untrustedCertResponseControl":"drop"}</t>
  </si>
  <si>
    <t>{"kind":"tm:ltm:profile:one-connect:one-connectstate","name":"f5demo-oneconnect","partition":"Common","fullPath":"/Common/f5demo-oneconnect","generation":48,"selfLink":"https://localhost/mgmt/tm/ltm/profile/one-connect/~Common~f5demo-oneconnect?ver=12.1.1","defaultsFrom":"/Common/oneconnect","defaultsFromReference":{"link":"https://localhost/mgmt/tm/ltm/profile/one-connect/~Common~oneconnect?ver=12.1.1"},"idleTimeoutOverride":"disabled","limitType":"none","maxAge":86400,"maxReuse":1000,"maxSize":10000,"sharePools":"disabled","sourceMask":"any"}</t>
  </si>
  <si>
    <t>{"kind":"tm:ltm:profile:tcp:tcpstate","name":"f5demo-tcp-lan","partition":"Common","fullPath":"/Common/f5demo-tcp-lan","generation":49,"selfLink":"https://localhost/mgmt/tm/ltm/profile/tcp/~Common~f5demo-tcp-lan?ver=12.1.1","abc":"enabled","ackOnPush":"enabled","closeWaitTimeout":5,"cmetricsCache":"enabled","cmetricsCacheTimeout":0,"congestionControl":"high-speed","defaultsFrom":"/Common/tcp-lan-optimized","defaultsFromReference":{"link":"https://localhost/mgmt/tm/ltm/profile/tcp/~Common~tcp-lan-optimized?ver=12.1.1"},"deferredAccept":"disabled","delayWindowControl":"disabled","delayedAcks":"enabled","dsack":"disabled","earlyRetransmit":"disabled","ecn":"disabled","fastOpen":"disabled","fastOpenCookieExpiration":21600,"finWait_2Timeout":300,"finWaitTimeout":5,"hardwareSynCookie":"enabled","idleTimeout":300,"initCwnd":0,"initRwnd":0,"ipTosToClient":"0","keepAliveInterval":1800,"limitedTransmit":"enabled","linkQosToClient":"0","maxRetrans":8,"maxSegmentSize":1460,"md5Signature":"disabled","minimumRto":0,"mptcp":"disabled","mptcpCsum":"disabled","mptcpCsumVerify":"disabled","mptcpDebug":"disabled","mptcpFallback":"reset","mptcpFastjoin":"disabled","mptcpIdleTimeout":300,"mptcpJoinMax":5,"mptcpMakeafterbreak":"disabled","mptcpNojoindssack":"disabled","mptcpRtomax":5,"mptcpRxmitmin":1000,"mptcpSubflowmax":6,"mptcpTimeout":3600,"nagle":"disabled","pktLossIgnoreBurst":0,"pktLossIgnoreRate":0,"proxyBufferHigh":131072,"proxyBufferLow":98304,"proxyMss":"enabled","proxyOptions":"enabled","ratePace":"disabled","ratePaceMaxRate":0,"receiveWindowSize":65535,"resetOnTimeout":"enabled","rexmtThresh":3,"selectiveAcks":"enabled","selectiveNack":"disabled","sendBufferSize":65535,"slowStart":"disabled","synCookieWhitelist":"disabled","synMaxRetrans":3,"synRtoBase":0,"tailLossProbe":"disabled","timeWaitRecycle":"enabled","timeWaitTimeout":"2000","timestamps":"enabled","verifiedAccept":"disabled","zeroWindowTimeout":20000}</t>
  </si>
  <si>
    <t>{"kind":"tm:ltm:profile:tcp:tcpstate","name":"f5demo-tcp-wan","partition":"Common","fullPath":"/Common/f5demo-tcp-wan","generation":50,"selfLink":"https://localhost/mgmt/tm/ltm/profile/tcp/~Common~f5demo-tcp-wan?ver=12.1.1","abc":"enabled","ackOnPush":"enabled","closeWaitTimeout":5,"cmetricsCache":"enabled","cmetricsCacheTimeout":0,"congestionControl":"high-speed","defaultsFrom":"/Common/tcp-wan-optimized","defaultsFromReference":{"link":"https://localhost/mgmt/tm/ltm/profile/tcp/~Common~tcp-wan-optimized?ver=12.1.1"},"deferredAccept":"disabled","delayWindowControl":"disabled","delayedAcks":"enabled","dsack":"disabled","earlyRetransmit":"disabled","ecn":"disabled","fastOpen":"disabled","fastOpenCookieExpiration":21600,"finWait_2Timeout":300,"finWaitTimeout":5,"hardwareSynCookie":"enabled","idleTimeout":300,"initCwnd":0,"initRwnd":0,"ipTosToClient":"0","keepAliveInterval":1800,"limitedTransmit":"enabled","linkQosToClient":"0","maxRetrans":8,"maxSegmentSize":1460,"md5Signature":"disabled","minimumRto":0,"mptcp":"disabled","mptcpCsum":"disabled","mptcpCsumVerify":"disabled","mptcpDebug":"disabled","mptcpFallback":"reset","mptcpFastjoin":"disabled","mptcpIdleTimeout":300,"mptcpJoinMax":5,"mptcpMakeafterbreak":"disabled","mptcpNojoindssack":"disabled","mptcpRtomax":5,"mptcpRxmitmin":1000,"mptcpSubflowmax":6,"mptcpTimeout":3600,"nagle":"enabled","pktLossIgnoreBurst":0,"pktLossIgnoreRate":0,"proxyBufferHigh":131072,"proxyBufferLow":131072,"proxyMss":"enabled","proxyOptions":"enabled","ratePace":"disabled","ratePaceMaxRate":0,"receiveWindowSize":65535,"resetOnTimeout":"enabled","rexmtThresh":3,"selectiveAcks":"enabled","selectiveNack":"disabled","sendBufferSize":65535,"slowStart":"enabled","synCookieWhitelist":"disabled","synMaxRetrans":3,"synRtoBase":0,"tailLossProbe":"disabled","timeWaitRecycle":"enabled","timeWaitTimeout":"2000","timestamps":"enabled","verifiedAccept":"disabled","zeroWindowTimeout":20000}</t>
  </si>
  <si>
    <t>{"kind":"tm:ltm:profile:udp:udpstate","name":"f5demo-udp","partition":"Common","fullPath":"/Common/f5demo-udp","generation":51,"selfLink":"https://localhost/mgmt/tm/ltm/profile/udp/~Common~f5demo-udp?ver=12.1.1","allowNoPayload":"disabled","datagramLoadBalancing":"disabled","defaultsFrom":"/Common/udp","defaultsFromReference":{"link":"https://localhost/mgmt/tm/ltm/profile/udp/~Common~udp?ver=12.1.1"},"idleTimeout":"60","ipDfMode":"pmtu","ipTosToClient":"0","ipTtlMode":"proxy","ipTtlV4":255,"ipTtlV6":64,"linkQosToClient":"0","noChecksum":"disabled","proxyMss":"disabled"}</t>
  </si>
  <si>
    <t>{"kind":"tm:ltm:profile:fastl4:fastl4state","name":"f5demo-fastl4","partition":"Common","fullPath":"/Common/f5demo-fastl4","generation":52,"selfLink":"https://localhost/mgmt/tm/ltm/profile/fastl4/~Common~f5demo-fastl4?ver=12.1.1","clientTimeout":30,"defaultsFrom":"/Common/fastL4","defaultsFromReference":{"link":"https://localhost/mgmt/tm/ltm/profile/fastl4/~Common~fastL4?ver=12.1.1"},"explicitFlowMigration":"disabled","hardwareSynCookie":"enabled","idleTimeout":"300","ipTosToClient":"pass-through","ipTosToServer":"pass-through","keepAliveInterval":"disabled","lateBinding":"disabled","linkQosToClient":"pass-through","linkQosToServer":"pass-through","looseClose":"disabled","looseInitialization":"disabled","mssOverride":0,"priorityToClient":"pass-through","priorityToServer":"pass-through","pvaAcceleration":"full","pvaDynamicClientPackets":1,"pvaDynamicServerPackets":0,"pvaFlowAging":"enabled","pvaFlowEvict":"enabled","pvaOffloadDynamic":"enabled","pvaOffloadState":"embryonic","reassembleFragments":"disabled","receiveWindowSize":0,"resetOnTimeout":"enabled","rttFromClient":"disabled","rttFromServer":"disabled","serverSack":"disabled","serverTimestamp":"disabled","softwareSynCookie":"disabled","synCookieWhitelist":"disabled","tcpCloseTimeout":"5","tcpGenerateIsn":"disabled","tcpHandshakeTimeout":"5","tcpStripSack":"disabled","tcpTimestampMode":"preserve","tcpWscaleMode":"preserve","timeoutRecovery":"disconnect"}</t>
  </si>
  <si>
    <t>{"kind":"tm:ltm:persistence:cookie:cookiestate","name":"f5demo-persist-cookie","partition":"Common","fullPath":"/Common/f5demo-persist-cookie","generation":53,"selfLink":"https://localhost/mgmt/tm/ltm/persistence/cookie/~Common~f5demo-persist-cookie?ver=12.1.1","alwaysSend":"disabled","cookieEncryption":"disabled","defaultsFrom":"/Common/cookie","defaultsFromReference":{"link":"https://localhost/mgmt/tm/ltm/persistence/cookie/~Common~cookie?ver=12.1.1"},"expiration":"0","hashLength":0,"hashOffset":0,"httponly":"enabled","matchAcrossPools":"disabled","matchAcrossServices":"disabled","matchAcrossVirtuals":"disabled","method":"insert","mirror":"disabled","overrideConnectionLimit":"disabled","secure":"enabled","timeout":"180"}</t>
  </si>
  <si>
    <t>{"kind":"tm:ltm:persistence:source-addr:source-addrstate","name":"f5demo-persist-sourceaddr","partition":"Common","fullPath":"/Common/f5demo-persist-sourceaddr","generation":54,"selfLink":"https://localhost/mgmt/tm/ltm/persistence/source-addr/~Common~f5demo-persist-sourceaddr?ver=12.1.1","defaultsFrom":"/Common/source_addr","defaultsFromReference":{"link":"https://localhost/mgmt/tm/ltm/persistence/source-addr/~Common~source_addr?ver=12.1.1"},"hashAlgorithm":"default","mapProxies":"enabled","mapProxyAddress":"none","mask":"none","matchAcrossPools":"disabled","matchAcrossServices":"disabled","matchAcrossVirtuals":"disabled","mirror":"disabled","overrideConnectionLimit":"disabled","timeout":"180"}</t>
  </si>
  <si>
    <t>{"kind":"tm:sys:config:savestate","command":"save"}</t>
  </si>
  <si>
    <t>{"kind":"tm:sys:config:loadstate","command":"load","name":"default"}</t>
  </si>
  <si>
    <t>{"kind":"tm:net:vlan:vlanstate","name":"ext","partition":"Common","fullPath":"/Common/ext","generation":26,"selfLink":"https://localhost/mgmt/tm/net/vlan/~Common~ext?ver=12.1.1","autoLasthop":"default","cmpHash":"default","dagRoundRobin":"disabled","dagTunnel":"outer","failsafe":"disabled","failsafeAction":"failover-restart-tm","failsafeTimeout":90,"ifIndex":624,"learning":"enable-forward","mtu":1500,"sflow":{"pollInterval":0,"pollIntervalGlobal":"yes","samplingRate":0,"samplingRateGlobal":"yes"},"sourceChecking":"disabled","tag":4094,"interfacesReference":{"link":"https://localhost/mgmt/tm/net/vlan/~Common~ext/interfaces?ver=12.1.1","isSubcollection":true}}</t>
  </si>
  <si>
    <t>{"kind":"tm:net:vlan:vlanstate","name":"int","partition":"Common","fullPath":"/Common/int","generation":29,"selfLink":"https://localhost/mgmt/tm/net/vlan/~Common~int?ver=12.1.1","autoLasthop":"default","cmpHash":"default","dagRoundRobin":"disabled","dagTunnel":"outer","failsafe":"disabled","failsafeAction":"failover-restart-tm","failsafeTimeout":90,"ifIndex":640,"learning":"enable-forward","mtu":1500,"sflow":{"pollInterval":0,"pollIntervalGlobal":"yes","samplingRate":0,"samplingRateGlobal":"yes"},"sourceChecking":"disabled","tag":4093,"interfacesReference":{"link":"https://localhost/mgmt/tm/net/vlan/~Common~int/interfaces?ver=12.1.1","isSubcollection":true}}</t>
  </si>
  <si>
    <t>{"kind":"tm:net:vlan:vlanstate","name":"peer","partition":"Common","fullPath":"/Common/peer","generation":32,"selfLink":"https://localhost/mgmt/tm/net/vlan/~Common~peer?ver=12.1.1","autoLasthop":"default","cmpHash":"default","dagRoundRobin":"disabled","dagTunnel":"outer","failsafe":"disabled","failsafeAction":"failover-restart-tm","failsafeTimeout":90,"ifIndex":656,"learning":"enable-forward","mtu":1500,"sflow":{"pollInterval":0,"pollIntervalGlobal":"yes","samplingRate":0,"samplingRateGlobal":"yes"},"sourceChecking":"disabled","tag":4092,"interfacesReference":{"link":"https://localhost/mgmt/tm/net/vlan/~Common~peer/interfaces?ver=12.1.1","isSubcollection":true}}</t>
  </si>
  <si>
    <t>{"kind":"tm:sys:config:savestate","command":"save","options":[{"file":"vadc06.f5demo.org-01-05-2017.scf","passphrase":"no-passphrase"}]}</t>
  </si>
  <si>
    <t>{"kind":"tm:sys:ucs:savestate","command":"save","name":"vadc06.f5demo.org-01-05-2017.ucs"}</t>
  </si>
  <si>
    <t>Enter NTP erver IP address</t>
  </si>
  <si>
    <t>ha</t>
  </si>
  <si>
    <t>Enter BIG-IP Management address</t>
  </si>
  <si>
    <t>Enter BIG-IP Auth Token</t>
  </si>
  <si>
    <t>vCMP Guest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</si>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</sst>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Arial"/>
    </font>
    <font>
      <sz val="10"/>
      <color theme="1"/>
      <name val="Arial"/>
    </font>
    <font>
      <b/>
      <sz val="10"/>
      <color theme="1"/>
      <name val="Arial"/>
    </font>
    <font>
      <sz val="11"/>
      <color theme="1"/>
      <name val="Arial"/>
      <family val="2"/>
    </font>
    <font>
      <b/>
      <sz val="12"/>
      <color rgb="FF000000"/>
      <name val="Calibri"/>
      <family val="2"/>
      <scheme val="minor"/>
    </font>
    <font>
      <sz val="12"/>
      <color rgb="FF000000"/>
      <name val="Helvetica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2" fillId="0" borderId="4" xfId="0" applyFont="1" applyBorder="1" applyAlignment="1">
      <alignment horizontal="center" vertical="center" wrapText="1"/>
    </xf>
    <xf numFmtId="0" fontId="5" fillId="0" borderId="5" xfId="0" applyFont="1" applyBorder="1" applyAlignment="1" applyProtection="1">
      <alignment horizontal="center" vertical="center" wrapText="1"/>
      <protection locked="0"/>
    </xf>
    <xf numFmtId="0" fontId="5" fillId="0" borderId="6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5" fillId="0" borderId="5" xfId="0" applyFont="1" applyBorder="1" applyAlignment="1" applyProtection="1">
      <alignment horizontal="center" vertical="center" wrapText="1"/>
      <protection hidden="1"/>
    </xf>
    <xf numFmtId="0" fontId="5" fillId="0" borderId="6" xfId="0" applyFont="1" applyBorder="1" applyAlignment="1" applyProtection="1">
      <alignment horizontal="center" vertical="center" wrapText="1"/>
      <protection hidden="1"/>
    </xf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0" fillId="0" borderId="4" xfId="0" applyBorder="1" applyAlignment="1" applyProtection="1">
      <alignment horizontal="center"/>
      <protection locked="0"/>
    </xf>
    <xf numFmtId="0" fontId="1" fillId="0" borderId="0" xfId="0" applyFont="1"/>
    <xf numFmtId="0" fontId="6" fillId="0" borderId="0" xfId="0" applyFont="1" applyBorder="1"/>
    <xf numFmtId="0" fontId="0" fillId="0" borderId="0" xfId="0" applyProtection="1">
      <protection hidden="1"/>
    </xf>
    <xf numFmtId="0" fontId="0" fillId="0" borderId="7" xfId="0" applyBorder="1"/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/>
    <xf numFmtId="0" fontId="0" fillId="0" borderId="0" xfId="0" applyFill="1" applyBorder="1" applyAlignment="1" applyProtection="1">
      <alignment horizontal="center" vertical="center" wrapText="1"/>
      <protection locked="0"/>
    </xf>
    <xf numFmtId="0" fontId="0" fillId="2" borderId="10" xfId="0" applyFill="1" applyBorder="1"/>
    <xf numFmtId="0" fontId="0" fillId="2" borderId="11" xfId="0" applyFill="1" applyBorder="1" applyAlignment="1"/>
    <xf numFmtId="0" fontId="4" fillId="0" borderId="10" xfId="0" applyFont="1" applyBorder="1" applyAlignment="1">
      <alignment horizontal="left" vertical="center" wrapText="1"/>
    </xf>
    <xf numFmtId="0" fontId="4" fillId="0" borderId="10" xfId="0" applyFont="1" applyBorder="1" applyAlignment="1">
      <alignment vertical="center" wrapText="1"/>
    </xf>
    <xf numFmtId="0" fontId="0" fillId="2" borderId="10" xfId="0" applyFont="1" applyFill="1" applyBorder="1"/>
    <xf numFmtId="0" fontId="1" fillId="0" borderId="14" xfId="0" applyFont="1" applyBorder="1"/>
    <xf numFmtId="0" fontId="0" fillId="0" borderId="0" xfId="0" applyAlignment="1">
      <alignment horizontal="center"/>
    </xf>
    <xf numFmtId="0" fontId="8" fillId="0" borderId="11" xfId="0" applyFont="1" applyBorder="1" applyAlignment="1" applyProtection="1">
      <alignment horizontal="center" vertical="center"/>
      <protection locked="0"/>
    </xf>
    <xf numFmtId="22" fontId="0" fillId="0" borderId="0" xfId="0" applyNumberFormat="1"/>
    <xf numFmtId="0" fontId="4" fillId="0" borderId="8" xfId="0" applyFont="1" applyBorder="1" applyAlignment="1">
      <alignment vertical="center" wrapText="1"/>
    </xf>
    <xf numFmtId="0" fontId="8" fillId="0" borderId="9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>
      <alignment horizontal="center"/>
    </xf>
    <xf numFmtId="0" fontId="1" fillId="0" borderId="12" xfId="0" applyFont="1" applyBorder="1"/>
    <xf numFmtId="0" fontId="0" fillId="0" borderId="13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8" xfId="0" applyFont="1" applyBorder="1"/>
    <xf numFmtId="0" fontId="1" fillId="0" borderId="10" xfId="0" applyFont="1" applyBorder="1"/>
    <xf numFmtId="0" fontId="2" fillId="2" borderId="1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43</xdr:row>
          <xdr:rowOff>0</xdr:rowOff>
        </xdr:from>
        <xdr:to>
          <xdr:col>1</xdr:col>
          <xdr:colOff>1409700</xdr:colOff>
          <xdr:row>45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Reset Worksheet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42</xdr:row>
          <xdr:rowOff>190500</xdr:rowOff>
        </xdr:from>
        <xdr:to>
          <xdr:col>2</xdr:col>
          <xdr:colOff>1762125</xdr:colOff>
          <xdr:row>45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Deploy Configuration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12</xdr:row>
          <xdr:rowOff>190500</xdr:rowOff>
        </xdr:from>
        <xdr:to>
          <xdr:col>3</xdr:col>
          <xdr:colOff>1495425</xdr:colOff>
          <xdr:row>15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Retrieve Auth Token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2200275</xdr:colOff>
          <xdr:row>42</xdr:row>
          <xdr:rowOff>190500</xdr:rowOff>
        </xdr:from>
        <xdr:to>
          <xdr:col>3</xdr:col>
          <xdr:colOff>1114425</xdr:colOff>
          <xdr:row>45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Create SCF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1514475</xdr:colOff>
          <xdr:row>43</xdr:row>
          <xdr:rowOff>0</xdr:rowOff>
        </xdr:from>
        <xdr:to>
          <xdr:col>5</xdr:col>
          <xdr:colOff>371475</xdr:colOff>
          <xdr:row>45</xdr:row>
          <xdr:rowOff>9525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Create UCS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42</xdr:row>
          <xdr:rowOff>190500</xdr:rowOff>
        </xdr:from>
        <xdr:to>
          <xdr:col>7</xdr:col>
          <xdr:colOff>571500</xdr:colOff>
          <xdr:row>45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Load Default Configuration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tform%20Builder-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EST"/>
      <sheetName val="CURL"/>
      <sheetName val="TMSH"/>
    </sheetNames>
    <sheetDataSet>
      <sheetData sheetId="0">
        <row r="77">
          <cell r="B77" t="str">
            <v>none</v>
          </cell>
        </row>
        <row r="78">
          <cell r="B78" t="str">
            <v>default</v>
          </cell>
        </row>
        <row r="79">
          <cell r="B79" t="str">
            <v>all</v>
          </cell>
        </row>
        <row r="81">
          <cell r="B81" t="str">
            <v>America/New_York</v>
          </cell>
        </row>
        <row r="82">
          <cell r="B82" t="str">
            <v>America/Chicago</v>
          </cell>
        </row>
        <row r="83">
          <cell r="B83" t="str">
            <v>America/Los_Angeles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8:E40"/>
  <sheetViews>
    <sheetView tabSelected="1" topLeftCell="A42" workbookViewId="0">
      <selection activeCell="H14" sqref="H14"/>
    </sheetView>
  </sheetViews>
  <sheetFormatPr defaultColWidth="11" defaultRowHeight="15.75" x14ac:dyDescent="0.25"/>
  <cols>
    <col min="2" max="2" width="23.375" customWidth="1"/>
    <col min="3" max="3" width="33.875" customWidth="1"/>
    <col min="4" max="4" width="22.375" customWidth="1"/>
    <col min="5" max="5" width="12.5" customWidth="1"/>
  </cols>
  <sheetData>
    <row r="8" spans="2:5" x14ac:dyDescent="0.25">
      <c r="D8" s="27"/>
    </row>
    <row r="9" spans="2:5" ht="16.5" thickBot="1" x14ac:dyDescent="0.3">
      <c r="B9" s="15"/>
      <c r="C9" s="15"/>
      <c r="D9" s="15"/>
    </row>
    <row r="10" spans="2:5" ht="16.5" thickBot="1" x14ac:dyDescent="0.3">
      <c r="B10" s="45" t="s">
        <v>0</v>
      </c>
      <c r="C10" s="46"/>
      <c r="D10" s="16"/>
    </row>
    <row r="11" spans="2:5" x14ac:dyDescent="0.25">
      <c r="B11" s="30" t="s">
        <v>2</v>
      </c>
      <c r="C11" s="31" t="s">
        <v>67</v>
      </c>
      <c r="D11" s="17"/>
    </row>
    <row r="12" spans="2:5" x14ac:dyDescent="0.25">
      <c r="B12" s="24" t="s">
        <v>3</v>
      </c>
      <c r="C12" s="28" t="s">
        <v>102</v>
      </c>
      <c r="D12" s="18"/>
    </row>
    <row r="13" spans="2:5" x14ac:dyDescent="0.25">
      <c r="B13" s="25"/>
      <c r="C13" s="22"/>
      <c r="D13" s="19"/>
    </row>
    <row r="14" spans="2:5" x14ac:dyDescent="0.25">
      <c r="B14" s="24" t="s">
        <v>58</v>
      </c>
      <c r="C14" s="32" t="s">
        <v>103</v>
      </c>
      <c r="D14" s="20"/>
      <c r="E14" s="15"/>
    </row>
    <row r="15" spans="2:5" x14ac:dyDescent="0.25">
      <c r="B15" s="21"/>
      <c r="C15" s="22"/>
      <c r="D15" s="19"/>
    </row>
    <row r="16" spans="2:5" ht="17.100000000000001" customHeight="1" x14ac:dyDescent="0.25">
      <c r="B16" s="23" t="s">
        <v>6</v>
      </c>
      <c r="C16" s="28" t="s">
        <v>68</v>
      </c>
      <c r="D16" s="17"/>
    </row>
    <row r="17" spans="2:5" x14ac:dyDescent="0.25">
      <c r="B17" s="24" t="s">
        <v>5</v>
      </c>
      <c r="C17" s="28" t="s">
        <v>69</v>
      </c>
      <c r="D17" s="17"/>
    </row>
    <row r="18" spans="2:5" x14ac:dyDescent="0.25">
      <c r="B18" s="23" t="s">
        <v>7</v>
      </c>
      <c r="C18" s="28" t="s">
        <v>100</v>
      </c>
      <c r="D18" s="17"/>
    </row>
    <row r="19" spans="2:5" ht="16.5" thickBot="1" x14ac:dyDescent="0.3">
      <c r="B19" s="33" t="s">
        <v>104</v>
      </c>
      <c r="C19" s="35" t="s">
        <v>105</v>
      </c>
    </row>
    <row r="20" spans="2:5" ht="16.5" thickBot="1" x14ac:dyDescent="0.3"/>
    <row r="21" spans="2:5" ht="16.5" thickBot="1" x14ac:dyDescent="0.3">
      <c r="B21" s="40" t="s">
        <v>26</v>
      </c>
      <c r="C21" s="49"/>
      <c r="D21" s="50"/>
    </row>
    <row r="22" spans="2:5" ht="16.5" thickBot="1" x14ac:dyDescent="0.3">
      <c r="B22" s="1" t="s">
        <v>8</v>
      </c>
      <c r="C22" s="1" t="s">
        <v>9</v>
      </c>
      <c r="D22" s="1" t="s">
        <v>10</v>
      </c>
    </row>
    <row r="23" spans="2:5" ht="16.5" thickBot="1" x14ac:dyDescent="0.3">
      <c r="B23" s="2" t="s">
        <v>11</v>
      </c>
      <c r="C23" s="3">
        <v>4094</v>
      </c>
      <c r="D23" s="3">
        <v>1.2</v>
      </c>
    </row>
    <row r="24" spans="2:5" ht="16.5" thickBot="1" x14ac:dyDescent="0.3">
      <c r="B24" s="2" t="s">
        <v>12</v>
      </c>
      <c r="C24" s="3">
        <v>4093</v>
      </c>
      <c r="D24" s="3">
        <v>1.1000000000000001</v>
      </c>
    </row>
    <row r="25" spans="2:5" ht="16.5" thickBot="1" x14ac:dyDescent="0.3">
      <c r="B25" s="2" t="s">
        <v>101</v>
      </c>
      <c r="C25" s="3">
        <v>4092</v>
      </c>
      <c r="D25" s="3">
        <v>1.3</v>
      </c>
    </row>
    <row r="26" spans="2:5" ht="16.5" thickBot="1" x14ac:dyDescent="0.3"/>
    <row r="27" spans="2:5" ht="16.5" thickBot="1" x14ac:dyDescent="0.3">
      <c r="B27" s="40" t="s">
        <v>27</v>
      </c>
      <c r="C27" s="41"/>
      <c r="D27" s="41"/>
      <c r="E27" s="42"/>
    </row>
    <row r="28" spans="2:5" ht="30.75" thickBot="1" x14ac:dyDescent="0.3">
      <c r="B28" s="4" t="s">
        <v>13</v>
      </c>
      <c r="C28" s="5" t="s">
        <v>14</v>
      </c>
      <c r="D28" s="5" t="s">
        <v>15</v>
      </c>
      <c r="E28" s="5" t="s">
        <v>16</v>
      </c>
    </row>
    <row r="29" spans="2:5" ht="16.5" thickBot="1" x14ac:dyDescent="0.3">
      <c r="B29" s="6" t="str">
        <f>B23 &amp; "-self"</f>
        <v>ext-self</v>
      </c>
      <c r="C29" s="3"/>
      <c r="D29" s="7" t="str">
        <f>B23</f>
        <v>ext</v>
      </c>
      <c r="E29" s="3" t="s">
        <v>17</v>
      </c>
    </row>
    <row r="30" spans="2:5" ht="16.5" thickBot="1" x14ac:dyDescent="0.3">
      <c r="B30" s="6" t="str">
        <f t="shared" ref="B30:B31" si="0">B24 &amp; "-self"</f>
        <v>int-self</v>
      </c>
      <c r="C30" s="3"/>
      <c r="D30" s="7" t="str">
        <f t="shared" ref="D30:D31" si="1">B24</f>
        <v>int</v>
      </c>
      <c r="E30" s="3" t="s">
        <v>17</v>
      </c>
    </row>
    <row r="31" spans="2:5" ht="16.5" thickBot="1" x14ac:dyDescent="0.3">
      <c r="B31" s="6" t="str">
        <f t="shared" si="0"/>
        <v>ha-self</v>
      </c>
      <c r="C31" s="3"/>
      <c r="D31" s="7" t="str">
        <f t="shared" si="1"/>
        <v>ha</v>
      </c>
      <c r="E31" s="3" t="s">
        <v>17</v>
      </c>
    </row>
    <row r="32" spans="2:5" ht="16.5" thickBot="1" x14ac:dyDescent="0.3"/>
    <row r="33" spans="2:5" ht="16.5" thickBot="1" x14ac:dyDescent="0.3">
      <c r="B33" s="40" t="s">
        <v>28</v>
      </c>
      <c r="C33" s="43"/>
      <c r="D33" s="43"/>
      <c r="E33" s="44"/>
    </row>
    <row r="34" spans="2:5" ht="16.5" thickBot="1" x14ac:dyDescent="0.3">
      <c r="B34" s="4" t="s">
        <v>13</v>
      </c>
      <c r="C34" s="5" t="s">
        <v>18</v>
      </c>
      <c r="D34" s="5" t="s">
        <v>19</v>
      </c>
      <c r="E34" s="5" t="s">
        <v>20</v>
      </c>
    </row>
    <row r="35" spans="2:5" ht="16.5" thickBot="1" x14ac:dyDescent="0.3">
      <c r="B35" s="8" t="s">
        <v>21</v>
      </c>
      <c r="C35" s="9" t="s">
        <v>22</v>
      </c>
      <c r="D35" s="9" t="s">
        <v>22</v>
      </c>
      <c r="E35" s="10"/>
    </row>
    <row r="36" spans="2:5" ht="16.5" thickBot="1" x14ac:dyDescent="0.3"/>
    <row r="37" spans="2:5" ht="16.5" thickBot="1" x14ac:dyDescent="0.3">
      <c r="B37" s="47" t="s">
        <v>59</v>
      </c>
      <c r="C37" s="48"/>
    </row>
    <row r="38" spans="2:5" x14ac:dyDescent="0.25">
      <c r="B38" s="38" t="s">
        <v>23</v>
      </c>
      <c r="C38" s="36" t="s">
        <v>4</v>
      </c>
    </row>
    <row r="39" spans="2:5" x14ac:dyDescent="0.25">
      <c r="B39" s="39" t="s">
        <v>24</v>
      </c>
      <c r="C39" s="37" t="s">
        <v>4</v>
      </c>
    </row>
    <row r="40" spans="2:5" ht="16.5" thickBot="1" x14ac:dyDescent="0.3">
      <c r="B40" s="33" t="s">
        <v>25</v>
      </c>
      <c r="C40" s="34" t="s">
        <v>1</v>
      </c>
    </row>
  </sheetData>
  <mergeCells count="5">
    <mergeCell ref="B27:E27"/>
    <mergeCell ref="B33:E33"/>
    <mergeCell ref="B10:C10"/>
    <mergeCell ref="B37:C37"/>
    <mergeCell ref="B21:D21"/>
  </mergeCells>
  <dataValidations count="2">
    <dataValidation type="list" allowBlank="1" showInputMessage="1" showErrorMessage="1" sqref="C38:C39 C19">
      <formula1>"Yes,No"</formula1>
    </dataValidation>
    <dataValidation type="list" allowBlank="1" showInputMessage="1" showErrorMessage="1" sqref="E29:E31">
      <formula1>"none, default, all"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autoFill="0" autoPict="0" macro="[0]!reset_workbook">
                <anchor moveWithCells="1" sizeWithCells="1">
                  <from>
                    <xdr:col>1</xdr:col>
                    <xdr:colOff>9525</xdr:colOff>
                    <xdr:row>43</xdr:row>
                    <xdr:rowOff>0</xdr:rowOff>
                  </from>
                  <to>
                    <xdr:col>1</xdr:col>
                    <xdr:colOff>1409700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autoFill="0" autoPict="0" macro="[0]!Button11_Click">
                <anchor moveWithCells="1" sizeWithCells="1">
                  <from>
                    <xdr:col>2</xdr:col>
                    <xdr:colOff>257175</xdr:colOff>
                    <xdr:row>42</xdr:row>
                    <xdr:rowOff>190500</xdr:rowOff>
                  </from>
                  <to>
                    <xdr:col>2</xdr:col>
                    <xdr:colOff>1762125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autoFill="0" autoPict="0" macro="[0]!retrieve_auth_token">
                <anchor moveWithCells="1" sizeWithCells="1">
                  <from>
                    <xdr:col>3</xdr:col>
                    <xdr:colOff>257175</xdr:colOff>
                    <xdr:row>12</xdr:row>
                    <xdr:rowOff>190500</xdr:rowOff>
                  </from>
                  <to>
                    <xdr:col>3</xdr:col>
                    <xdr:colOff>1495425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autoFill="0" autoPict="0" macro="[0]!create_scf">
                <anchor moveWithCells="1" sizeWithCells="1">
                  <from>
                    <xdr:col>2</xdr:col>
                    <xdr:colOff>2200275</xdr:colOff>
                    <xdr:row>42</xdr:row>
                    <xdr:rowOff>190500</xdr:rowOff>
                  </from>
                  <to>
                    <xdr:col>3</xdr:col>
                    <xdr:colOff>1114425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autoFill="0" autoPict="0" macro="[0]!create_ucs">
                <anchor moveWithCells="1" sizeWithCells="1">
                  <from>
                    <xdr:col>3</xdr:col>
                    <xdr:colOff>1514475</xdr:colOff>
                    <xdr:row>43</xdr:row>
                    <xdr:rowOff>0</xdr:rowOff>
                  </from>
                  <to>
                    <xdr:col>5</xdr:col>
                    <xdr:colOff>371475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Button 18">
              <controlPr defaultSize="0" autoFill="0" autoPict="0" macro="[0]!load_default_config">
                <anchor moveWithCells="1" sizeWithCells="1">
                  <from>
                    <xdr:col>5</xdr:col>
                    <xdr:colOff>752475</xdr:colOff>
                    <xdr:row>42</xdr:row>
                    <xdr:rowOff>190500</xdr:rowOff>
                  </from>
                  <to>
                    <xdr:col>7</xdr:col>
                    <xdr:colOff>571500</xdr:colOff>
                    <xdr:row>45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0:J48"/>
  <sheetViews>
    <sheetView topLeftCell="E10" workbookViewId="0">
      <selection activeCell="F11" sqref="F11"/>
    </sheetView>
  </sheetViews>
  <sheetFormatPr defaultColWidth="11" defaultRowHeight="15.75" x14ac:dyDescent="0.25"/>
  <cols>
    <col min="2" max="2" width="40.125" customWidth="1"/>
    <col min="3" max="3" width="11" customWidth="1"/>
    <col min="4" max="4" width="58" customWidth="1"/>
    <col min="5" max="5" width="98.125" customWidth="1"/>
    <col min="8" max="8" width="13.375" customWidth="1"/>
  </cols>
  <sheetData>
    <row r="10" spans="2:10" x14ac:dyDescent="0.25">
      <c r="B10" s="11" t="s">
        <v>32</v>
      </c>
      <c r="C10" s="11" t="s">
        <v>29</v>
      </c>
      <c r="D10" s="11" t="s">
        <v>30</v>
      </c>
      <c r="E10" s="12" t="s">
        <v>31</v>
      </c>
    </row>
    <row r="11" spans="2:10" x14ac:dyDescent="0.25">
      <c r="B11" t="s">
        <v>33</v>
      </c>
      <c r="C11" t="s">
        <v>37</v>
      </c>
      <c r="D11" t="str">
        <f>"https://" &amp;Sheet1!C$12 &amp; "/mgmt/tm/sys/global-settings"</f>
        <v>https://Enter BIG-IP Management address/mgmt/tm/sys/global-settings</v>
      </c>
      <c r="E11" t="str">
        <f>"{ " &amp;CHAR(34) &amp; "guiSetup" &amp; CHAR(34) &amp; ":" &amp;  CHAR(34) &amp; "disabled" &amp; CHAR(34)  &amp;  "}"</f>
        <v>{ "guiSetup":"disabled"}</v>
      </c>
      <c r="H11" s="29">
        <v>42740.719907407409</v>
      </c>
      <c r="I11">
        <v>200</v>
      </c>
      <c r="J11" t="s">
        <v>70</v>
      </c>
    </row>
    <row r="12" spans="2:10" x14ac:dyDescent="0.25">
      <c r="B12" t="s">
        <v>34</v>
      </c>
      <c r="C12" t="s">
        <v>37</v>
      </c>
      <c r="D12" t="str">
        <f>"https://" &amp;Sheet1!C$12 &amp; "/mgmt/tm/sys/global-settings"</f>
        <v>https://Enter BIG-IP Management address/mgmt/tm/sys/global-settings</v>
      </c>
      <c r="E12" t="str">
        <f xml:space="preserve"> "{" &amp; CHAR(34) &amp; "hostname" &amp; CHAR(34) &amp; ":" &amp; CHAR(34) &amp;Sheet1!C$11 &amp; CHAR(34) &amp;   "}"</f>
        <v>{"hostname":"Enter BIG-IP Hostname"}</v>
      </c>
      <c r="H12" s="29">
        <v>42740.719953703701</v>
      </c>
      <c r="I12">
        <v>200</v>
      </c>
      <c r="J12" t="s">
        <v>71</v>
      </c>
    </row>
    <row r="14" spans="2:10" x14ac:dyDescent="0.25">
      <c r="B14" t="s">
        <v>35</v>
      </c>
      <c r="C14" t="s">
        <v>37</v>
      </c>
      <c r="D14" t="str">
        <f>"https://" &amp; Sheet1!C$12 &amp;  "/mgmt/tm/sys/dns"</f>
        <v>https://Enter BIG-IP Management address/mgmt/tm/sys/dns</v>
      </c>
      <c r="E14" t="str">
        <f xml:space="preserve"> "{"&amp;CHAR(34) &amp; "nameServers"&amp; CHAR(34) &amp; ": ["&amp;CHAR(34) &amp; Sheet1!C16 &amp; CHAR(34) &amp; "]}"</f>
        <v>{"nameServers": ["Enter DNS Resolver IP address"]}</v>
      </c>
      <c r="H14" s="29">
        <v>42740.720011574071</v>
      </c>
      <c r="I14">
        <v>200</v>
      </c>
      <c r="J14" t="s">
        <v>72</v>
      </c>
    </row>
    <row r="15" spans="2:10" x14ac:dyDescent="0.25">
      <c r="B15" t="s">
        <v>36</v>
      </c>
      <c r="C15" t="s">
        <v>37</v>
      </c>
      <c r="D15" t="str">
        <f>"https://" &amp; Sheet1!C$12 &amp;  "/mgmt/tm/sys/ntp"</f>
        <v>https://Enter BIG-IP Management address/mgmt/tm/sys/ntp</v>
      </c>
      <c r="E15" t="str">
        <f xml:space="preserve"> "{"&amp;CHAR(34) &amp; "timezone" &amp; CHAR(34) &amp; ":" &amp;CHAR(34) &amp; Sheet1!C17 &amp; CHAR(34)&amp;","&amp;CHAR(34) &amp; "servers" &amp;CHAR(34)&amp;":" &amp;"["&amp;CHAR(34) &amp; Sheet1!C18 &amp; CHAR(34) &amp; "]}"</f>
        <v>{"timezone":"Enter Timezone","servers":["Enter NTP erver IP address"]}</v>
      </c>
      <c r="H15" s="29">
        <v>42740.720046296294</v>
      </c>
      <c r="I15">
        <v>200</v>
      </c>
      <c r="J15" t="s">
        <v>73</v>
      </c>
    </row>
    <row r="17" spans="2:10" x14ac:dyDescent="0.25">
      <c r="B17" t="s">
        <v>38</v>
      </c>
      <c r="C17" t="s">
        <v>41</v>
      </c>
      <c r="D17" t="str">
        <f>"https://" &amp; Sheet1!C$12 &amp; "/mgmt/tm/net/vlan"</f>
        <v>https://Enter BIG-IP Management address/mgmt/tm/net/vlan</v>
      </c>
      <c r="E17" s="13" t="str">
        <f>"{" &amp; CHAR(34)&amp; "name" &amp;CHAR(34)&amp; ":"  &amp; CHAR(34) &amp;LOWER( Sheet1!B23) &amp; CHAR(34) &amp; "," &amp; CHAR(34)&amp; "interfaces" &amp;CHAR(34)&amp; ":" &amp; CHAR(34) &amp;Sheet1!D23 &amp; CHAR(34) &amp; ","  &amp; CHAR(34) &amp; "tag" &amp; CHAR(34) &amp; ":" &amp; Sheet1!C23 &amp; "}"</f>
        <v>{"name":"ext","interfaces":"1.2","tag":4094}</v>
      </c>
      <c r="H17" s="29">
        <v>42740.720046296294</v>
      </c>
      <c r="I17">
        <v>200</v>
      </c>
      <c r="J17" t="s">
        <v>95</v>
      </c>
    </row>
    <row r="18" spans="2:10" x14ac:dyDescent="0.25">
      <c r="B18" t="s">
        <v>38</v>
      </c>
      <c r="C18" t="s">
        <v>41</v>
      </c>
      <c r="D18" t="str">
        <f>"https://" &amp; Sheet1!C$12 &amp; "/mgmt/tm/net/vlan"</f>
        <v>https://Enter BIG-IP Management address/mgmt/tm/net/vlan</v>
      </c>
      <c r="E18" s="13" t="str">
        <f>"{" &amp; CHAR(34)&amp; "name" &amp;CHAR(34)&amp; ":"  &amp; CHAR(34) &amp;LOWER( Sheet1!B24) &amp; CHAR(34) &amp; "," &amp; CHAR(34)&amp; "interfaces" &amp;CHAR(34)&amp; ":" &amp; CHAR(34) &amp;Sheet1!D24 &amp; CHAR(34) &amp; ","  &amp; CHAR(34) &amp; "tag" &amp; CHAR(34) &amp; ":" &amp; Sheet1!C24 &amp; "}"</f>
        <v>{"name":"int","interfaces":"1.1","tag":4093}</v>
      </c>
      <c r="H18" s="29">
        <v>42740.720046296294</v>
      </c>
      <c r="I18">
        <v>200</v>
      </c>
      <c r="J18" t="s">
        <v>96</v>
      </c>
    </row>
    <row r="19" spans="2:10" x14ac:dyDescent="0.25">
      <c r="B19" t="s">
        <v>38</v>
      </c>
      <c r="C19" t="s">
        <v>41</v>
      </c>
      <c r="D19" t="str">
        <f>"https://" &amp; Sheet1!C$12 &amp; "/mgmt/tm/net/vlan"</f>
        <v>https://Enter BIG-IP Management address/mgmt/tm/net/vlan</v>
      </c>
      <c r="E19" s="13" t="str">
        <f>"{" &amp; CHAR(34)&amp; "name" &amp;CHAR(34)&amp; ":"  &amp; CHAR(34) &amp;LOWER( Sheet1!B25) &amp; CHAR(34) &amp; "," &amp; CHAR(34)&amp; "interfaces" &amp;CHAR(34)&amp; ":" &amp; CHAR(34) &amp;Sheet1!D25 &amp; CHAR(34) &amp; ","  &amp; CHAR(34) &amp; "tag" &amp; CHAR(34) &amp; ":" &amp; Sheet1!C25 &amp; "}"</f>
        <v>{"name":"ha","interfaces":"1.3","tag":4092}</v>
      </c>
      <c r="H19" s="29">
        <v>42740.720046296294</v>
      </c>
      <c r="I19">
        <v>200</v>
      </c>
      <c r="J19" t="s">
        <v>97</v>
      </c>
    </row>
    <row r="20" spans="2:10" x14ac:dyDescent="0.25">
      <c r="E20" s="13"/>
    </row>
    <row r="21" spans="2:10" x14ac:dyDescent="0.25">
      <c r="B21" t="s">
        <v>39</v>
      </c>
      <c r="C21" t="s">
        <v>41</v>
      </c>
      <c r="D21" t="str">
        <f>"https://" &amp; Sheet1!C$12 &amp; "/mgmt/tm/net/self"</f>
        <v>https://Enter BIG-IP Management address/mgmt/tm/net/self</v>
      </c>
      <c r="E21" s="13" t="str">
        <f>"{"&amp;CHAR(34)&amp;"name"&amp;CHAR(34)&amp;" : "&amp;CHAR(34)&amp;Sheet1!B29&amp;CHAR(34)&amp;","&amp;CHAR(34)&amp;"address"&amp;CHAR(34)&amp;" : "&amp;CHAR(34)&amp;Sheet1!C29&amp;CHAR(34) &amp; "," &amp;CHAR(34)&amp; "vlan" &amp; CHAR(34) &amp; " : " &amp; CHAR(34) &amp; Sheet1!D29 &amp; CHAR(34) &amp; "," &amp; CHAR(34) &amp; "allow-service" &amp; CHAR(34) &amp; " : " &amp; CHAR(34) &amp; Sheet1!E29 &amp; CHAR(34) &amp; "}"</f>
        <v>{"name" : "ext-self","address" : "","vlan" : "ext","allow-service" : "none"}</v>
      </c>
      <c r="H21" s="29">
        <v>42740.720046296294</v>
      </c>
      <c r="I21">
        <v>200</v>
      </c>
      <c r="J21" t="s">
        <v>79</v>
      </c>
    </row>
    <row r="22" spans="2:10" x14ac:dyDescent="0.25">
      <c r="B22" t="s">
        <v>39</v>
      </c>
      <c r="C22" t="s">
        <v>41</v>
      </c>
      <c r="D22" t="str">
        <f>"https://" &amp; Sheet1!C$12 &amp; "/mgmt/tm/net/self"</f>
        <v>https://Enter BIG-IP Management address/mgmt/tm/net/self</v>
      </c>
      <c r="E22" s="13" t="str">
        <f>"{"&amp;CHAR(34)&amp;"name"&amp;CHAR(34)&amp;" : "&amp;CHAR(34)&amp;Sheet1!B30&amp;CHAR(34)&amp;","&amp;CHAR(34)&amp;"address"&amp;CHAR(34)&amp;" : "&amp;CHAR(34)&amp;Sheet1!C30&amp;CHAR(34) &amp; "," &amp;CHAR(34)&amp; "vlan" &amp; CHAR(34) &amp; " : " &amp; CHAR(34) &amp; Sheet1!D30 &amp; CHAR(34) &amp; "," &amp; CHAR(34) &amp; "allow-service" &amp; CHAR(34) &amp; " : " &amp; CHAR(34) &amp; Sheet1!E30 &amp; CHAR(34) &amp; "}"</f>
        <v>{"name" : "int-self","address" : "","vlan" : "int","allow-service" : "none"}</v>
      </c>
      <c r="H22" s="29">
        <v>42740.720046296294</v>
      </c>
      <c r="I22">
        <v>200</v>
      </c>
      <c r="J22" t="s">
        <v>80</v>
      </c>
    </row>
    <row r="23" spans="2:10" x14ac:dyDescent="0.25">
      <c r="B23" t="s">
        <v>39</v>
      </c>
      <c r="C23" t="s">
        <v>41</v>
      </c>
      <c r="D23" t="str">
        <f>"https://" &amp; Sheet1!C$12 &amp; "/mgmt/tm/net/self"</f>
        <v>https://Enter BIG-IP Management address/mgmt/tm/net/self</v>
      </c>
      <c r="E23" s="13" t="str">
        <f>"{"&amp;CHAR(34)&amp;"name"&amp;CHAR(34)&amp;" : "&amp;CHAR(34)&amp;Sheet1!B31&amp;CHAR(34)&amp;","&amp;CHAR(34)&amp;"address"&amp;CHAR(34)&amp;" : "&amp;CHAR(34)&amp;Sheet1!C31&amp;CHAR(34) &amp; "," &amp;CHAR(34)&amp; "vlan" &amp; CHAR(34) &amp; " : " &amp; CHAR(34) &amp; Sheet1!D31 &amp; CHAR(34) &amp; "," &amp; CHAR(34) &amp; "allow-service" &amp; CHAR(34) &amp; " : " &amp; CHAR(34) &amp; Sheet1!E31 &amp; CHAR(34) &amp; "}"</f>
        <v>{"name" : "ha-self","address" : "","vlan" : "ha","allow-service" : "none"}</v>
      </c>
      <c r="H23" s="29">
        <v>42740.720046296294</v>
      </c>
      <c r="I23">
        <v>200</v>
      </c>
      <c r="J23" t="s">
        <v>81</v>
      </c>
    </row>
    <row r="24" spans="2:10" x14ac:dyDescent="0.25">
      <c r="E24" s="13"/>
    </row>
    <row r="25" spans="2:10" x14ac:dyDescent="0.25">
      <c r="B25" t="s">
        <v>40</v>
      </c>
      <c r="C25" t="s">
        <v>41</v>
      </c>
      <c r="D25" t="str">
        <f>"https://" &amp; Sheet1!C$12 &amp; "/mgmt/tm/net/route"</f>
        <v>https://Enter BIG-IP Management address/mgmt/tm/net/route</v>
      </c>
      <c r="E25" s="13" t="str">
        <f>"{" &amp; CHAR(34)&amp; "name" &amp;CHAR(34)&amp; ":"  &amp; CHAR(34) &amp;LOWER( Sheet1!B35) &amp; CHAR(34) &amp; "," &amp; CHAR(34)&amp; "network" &amp;CHAR(34)&amp; ":" &amp; CHAR(34) &amp;Sheet1!C35 &amp; "/" &amp; Sheet1!D35 &amp; CHAR(34) &amp; ","  &amp; CHAR(34) &amp; "gw" &amp; CHAR(34) &amp; ":" &amp;CHAR(34)&amp; Sheet1!E35  &amp;CHAR(34) &amp; "," &amp; CHAR(34) &amp; "partition" &amp; CHAR(34) &amp; ":" &amp; CHAR(34) &amp; "Common" &amp; CHAR(34) &amp; "}"</f>
        <v>{"name":"default","network":"0.0.0.0/0.0.0.0","gw":"","partition":"Common"}</v>
      </c>
      <c r="H25" s="29">
        <v>42740.720046296294</v>
      </c>
      <c r="I25">
        <v>200</v>
      </c>
      <c r="J25" t="s">
        <v>82</v>
      </c>
    </row>
    <row r="26" spans="2:10" x14ac:dyDescent="0.25">
      <c r="E26" s="13"/>
    </row>
    <row r="27" spans="2:10" x14ac:dyDescent="0.25">
      <c r="B27" t="s">
        <v>66</v>
      </c>
      <c r="C27" t="s">
        <v>41</v>
      </c>
      <c r="D27" t="str">
        <f>"https://" &amp; Sheet1!C$12 &amp; "/mgmt/tm/cm/device"</f>
        <v>https://Enter BIG-IP Management address/mgmt/tm/cm/device</v>
      </c>
      <c r="E27" s="13" t="str">
        <f xml:space="preserve"> "{" &amp; CHAR(34) &amp; "command" &amp; CHAR(34) &amp; ":" &amp; CHAR(34) &amp; "mv" &amp; CHAR(34) &amp; "," &amp;CHAR(34) &amp; "name" &amp; CHAR(34) &amp; ":" &amp; CHAR(34) &amp; "bigip1" &amp; CHAR(34) &amp; "," &amp;CHAR(34)  &amp; "target" &amp; CHAR(34) &amp; ":" &amp; CHAR(34) &amp;Sheet1!C$11 &amp; CHAR(34) &amp; "}"</f>
        <v>{"command":"mv","name":"bigip1","target":"Enter BIG-IP Hostname"}</v>
      </c>
      <c r="H27" s="29">
        <v>42740.720046296294</v>
      </c>
      <c r="I27">
        <v>200</v>
      </c>
      <c r="J27" t="s">
        <v>78</v>
      </c>
    </row>
    <row r="29" spans="2:10" x14ac:dyDescent="0.25">
      <c r="B29" t="s">
        <v>42</v>
      </c>
      <c r="C29" t="s">
        <v>41</v>
      </c>
      <c r="D29" t="str">
        <f>"https://" &amp; Sheet1!C$12 &amp; "/mgmt/tm/ltm/profile/http"</f>
        <v>https://Enter BIG-IP Management address/mgmt/tm/ltm/profile/http</v>
      </c>
      <c r="E29" s="13" t="str">
        <f xml:space="preserve">  "{" &amp; CHAR(34) &amp; "name" &amp; CHAR(34) &amp; ":" &amp; CHAR(34) &amp; Sheet1!C$40 &amp; "-http" &amp;CHAR(34) &amp; "," &amp; CHAR(34) &amp; "defaultsFrom" &amp; CHAR(34) &amp; ":" &amp; CHAR(34) &amp; "http" &amp; CHAR(34) &amp; "," &amp; CHAR(34) &amp; "insertXforwardedFor" &amp; CHAR(34) &amp; ":" &amp; CHAR(34) &amp; "enabled" &amp; CHAR(34) &amp; "}"</f>
        <v>{"name":"f5customer-http","defaultsFrom":"http","insertXforwardedFor":"enabled"}</v>
      </c>
      <c r="H29" s="29">
        <v>42740.720046296294</v>
      </c>
      <c r="I29">
        <v>200</v>
      </c>
      <c r="J29" t="s">
        <v>83</v>
      </c>
    </row>
    <row r="30" spans="2:10" x14ac:dyDescent="0.25">
      <c r="B30" t="s">
        <v>43</v>
      </c>
      <c r="C30" t="s">
        <v>41</v>
      </c>
      <c r="D30" t="str">
        <f>"https://" &amp; Sheet1!C$12 &amp; "/mgmt/tm/ltm/profile/client-ssl"</f>
        <v>https://Enter BIG-IP Management address/mgmt/tm/ltm/profile/client-ssl</v>
      </c>
      <c r="E30" s="13" t="str">
        <f xml:space="preserve">  "{" &amp; CHAR(34) &amp; "name" &amp; CHAR(34) &amp; ":" &amp; CHAR(34) &amp; Sheet1!C$40 &amp; "-clientssl" &amp;CHAR(34) &amp; "," &amp; CHAR(34) &amp; "defaultsFrom" &amp; CHAR(34) &amp; ":" &amp; CHAR(34) &amp; "clientssl" &amp; CHAR(34) &amp; "}"</f>
        <v>{"name":"f5customer-clientssl","defaultsFrom":"clientssl"}</v>
      </c>
      <c r="H30" s="29">
        <v>42740.720046296294</v>
      </c>
      <c r="I30">
        <v>200</v>
      </c>
      <c r="J30" t="s">
        <v>84</v>
      </c>
    </row>
    <row r="31" spans="2:10" x14ac:dyDescent="0.25">
      <c r="B31" t="s">
        <v>44</v>
      </c>
      <c r="C31" t="s">
        <v>41</v>
      </c>
      <c r="D31" t="str">
        <f>"https://" &amp; Sheet1!C$12&amp; "/mgmt/tm/ltm/profile/server-ssl"</f>
        <v>https://Enter BIG-IP Management address/mgmt/tm/ltm/profile/server-ssl</v>
      </c>
      <c r="E31" s="13" t="str">
        <f xml:space="preserve">  "{" &amp; CHAR(34) &amp; "name" &amp; CHAR(34) &amp; ":" &amp; CHAR(34) &amp; Sheet1!C$40 &amp; "-serverssl" &amp;CHAR(34) &amp; "," &amp; CHAR(34) &amp; "defaultsFrom" &amp; CHAR(34) &amp; ":" &amp; CHAR(34) &amp; "serverssl" &amp; CHAR(34) &amp; "}"</f>
        <v>{"name":"f5customer-serverssl","defaultsFrom":"serverssl"}</v>
      </c>
      <c r="H31" s="29">
        <v>42740.720057870371</v>
      </c>
      <c r="I31">
        <v>200</v>
      </c>
      <c r="J31" t="s">
        <v>85</v>
      </c>
    </row>
    <row r="32" spans="2:10" x14ac:dyDescent="0.25">
      <c r="B32" t="s">
        <v>45</v>
      </c>
      <c r="C32" t="s">
        <v>41</v>
      </c>
      <c r="D32" t="str">
        <f>"https://" &amp; Sheet1!C$12&amp; "/mgmt/tm/ltm/profile/one-connect"</f>
        <v>https://Enter BIG-IP Management address/mgmt/tm/ltm/profile/one-connect</v>
      </c>
      <c r="E32" s="13" t="str">
        <f xml:space="preserve">  "{" &amp; CHAR(34) &amp; "name" &amp; CHAR(34) &amp; ":" &amp; CHAR(34) &amp; Sheet1!C$40 &amp; "-oneconnect" &amp;CHAR(34) &amp; "," &amp; CHAR(34) &amp; "defaultsFrom" &amp; CHAR(34) &amp; ":" &amp; CHAR(34) &amp; "oneconnect" &amp; CHAR(34) &amp; "}"</f>
        <v>{"name":"f5customer-oneconnect","defaultsFrom":"oneconnect"}</v>
      </c>
      <c r="H32" s="29">
        <v>42740.720057870371</v>
      </c>
      <c r="I32">
        <v>200</v>
      </c>
      <c r="J32" t="s">
        <v>86</v>
      </c>
    </row>
    <row r="33" spans="2:10" x14ac:dyDescent="0.25">
      <c r="B33" t="s">
        <v>46</v>
      </c>
      <c r="C33" t="s">
        <v>41</v>
      </c>
      <c r="D33" t="str">
        <f>"https://" &amp; Sheet1!C$12&amp; "/mgmt/tm/ltm/profile/tcp"</f>
        <v>https://Enter BIG-IP Management address/mgmt/tm/ltm/profile/tcp</v>
      </c>
      <c r="E33" s="13" t="str">
        <f xml:space="preserve">  "{" &amp; CHAR(34) &amp; "name" &amp; CHAR(34) &amp; ":" &amp; CHAR(34) &amp; Sheet1!C$40 &amp; "-tcp-lan" &amp;CHAR(34) &amp; "," &amp; CHAR(34) &amp; "defaultsFrom" &amp; CHAR(34) &amp; ":" &amp; CHAR(34) &amp; "tcp-lan-optimized" &amp; CHAR(34) &amp; "}"</f>
        <v>{"name":"f5customer-tcp-lan","defaultsFrom":"tcp-lan-optimized"}</v>
      </c>
      <c r="H33" s="29">
        <v>42740.720057870371</v>
      </c>
      <c r="I33">
        <v>200</v>
      </c>
      <c r="J33" t="s">
        <v>87</v>
      </c>
    </row>
    <row r="34" spans="2:10" x14ac:dyDescent="0.25">
      <c r="B34" t="s">
        <v>47</v>
      </c>
      <c r="C34" t="s">
        <v>41</v>
      </c>
      <c r="D34" t="str">
        <f>"https://" &amp; Sheet1!C$12&amp; "/mgmt/tm/ltm/profile/tcp"</f>
        <v>https://Enter BIG-IP Management address/mgmt/tm/ltm/profile/tcp</v>
      </c>
      <c r="E34" s="13" t="str">
        <f xml:space="preserve">  "{" &amp; CHAR(34) &amp; "name" &amp; CHAR(34) &amp; ":" &amp; CHAR(34) &amp; Sheet1!C$40 &amp; "-tcp-wan" &amp;CHAR(34) &amp; "," &amp; CHAR(34) &amp; "defaultsFrom" &amp; CHAR(34) &amp; ":" &amp; CHAR(34) &amp; "tcp-wan-optimized" &amp; CHAR(34) &amp; "}"</f>
        <v>{"name":"f5customer-tcp-wan","defaultsFrom":"tcp-wan-optimized"}</v>
      </c>
      <c r="H34" s="29">
        <v>42740.720057870371</v>
      </c>
      <c r="I34">
        <v>200</v>
      </c>
      <c r="J34" t="s">
        <v>88</v>
      </c>
    </row>
    <row r="35" spans="2:10" x14ac:dyDescent="0.25">
      <c r="B35" t="s">
        <v>48</v>
      </c>
      <c r="C35" t="s">
        <v>41</v>
      </c>
      <c r="D35" t="str">
        <f>"https://" &amp; Sheet1!C$12&amp; "/mgmt/tm/ltm/profile/udp"</f>
        <v>https://Enter BIG-IP Management address/mgmt/tm/ltm/profile/udp</v>
      </c>
      <c r="E35" s="13" t="str">
        <f xml:space="preserve">  "{" &amp; CHAR(34) &amp; "name" &amp; CHAR(34) &amp; ":" &amp; CHAR(34) &amp; Sheet1!C$40 &amp; "-udp" &amp;CHAR(34) &amp; "," &amp; CHAR(34) &amp; "defaultsFrom" &amp; CHAR(34) &amp; ":" &amp; CHAR(34) &amp; "udp" &amp; CHAR(34) &amp; "}"</f>
        <v>{"name":"f5customer-udp","defaultsFrom":"udp"}</v>
      </c>
      <c r="H35" s="29">
        <v>42740.720057870371</v>
      </c>
      <c r="I35">
        <v>200</v>
      </c>
      <c r="J35" t="s">
        <v>89</v>
      </c>
    </row>
    <row r="36" spans="2:10" x14ac:dyDescent="0.25">
      <c r="B36" t="s">
        <v>49</v>
      </c>
      <c r="C36" t="s">
        <v>41</v>
      </c>
      <c r="D36" t="str">
        <f>"https://" &amp; Sheet1!C$12&amp; "/mgmt/tm/ltm/profile/fastl4"</f>
        <v>https://Enter BIG-IP Management address/mgmt/tm/ltm/profile/fastl4</v>
      </c>
      <c r="E36" s="13" t="str">
        <f xml:space="preserve">  "{" &amp; CHAR(34) &amp; "name" &amp; CHAR(34) &amp; ":" &amp; CHAR(34) &amp; Sheet1!C$40 &amp; "-fastl4" &amp;CHAR(34) &amp; "," &amp; CHAR(34) &amp; "defaultsFrom" &amp; CHAR(34) &amp; ":" &amp; CHAR(34) &amp; "fastL4" &amp; CHAR(34) &amp; "}"</f>
        <v>{"name":"f5customer-fastl4","defaultsFrom":"fastL4"}</v>
      </c>
      <c r="H36" s="29">
        <v>42740.720057870371</v>
      </c>
      <c r="I36">
        <v>200</v>
      </c>
      <c r="J36" t="s">
        <v>90</v>
      </c>
    </row>
    <row r="37" spans="2:10" x14ac:dyDescent="0.25">
      <c r="B37" t="s">
        <v>50</v>
      </c>
      <c r="C37" t="s">
        <v>41</v>
      </c>
      <c r="D37" t="str">
        <f>"https://" &amp; Sheet1!C$12&amp; "/mgmt/tm/ltm/persistence/cookie"</f>
        <v>https://Enter BIG-IP Management address/mgmt/tm/ltm/persistence/cookie</v>
      </c>
      <c r="E37" s="13" t="str">
        <f xml:space="preserve">  "{" &amp; CHAR(34) &amp; "name" &amp; CHAR(34) &amp; ":" &amp; CHAR(34) &amp; Sheet1!C$40 &amp; "-persist-cookie" &amp;CHAR(34) &amp; "," &amp; CHAR(34) &amp; "defaultsFrom" &amp; CHAR(34) &amp; ":" &amp; CHAR(34) &amp; "cookie" &amp; CHAR(34) &amp; "}"</f>
        <v>{"name":"f5customer-persist-cookie","defaultsFrom":"cookie"}</v>
      </c>
      <c r="H37" s="29">
        <v>42740.720057870371</v>
      </c>
      <c r="I37">
        <v>200</v>
      </c>
      <c r="J37" t="s">
        <v>91</v>
      </c>
    </row>
    <row r="38" spans="2:10" x14ac:dyDescent="0.25">
      <c r="B38" t="s">
        <v>51</v>
      </c>
      <c r="C38" t="s">
        <v>41</v>
      </c>
      <c r="D38" t="str">
        <f>"https://" &amp; Sheet1!C$12&amp; "/mgmt/tm/ltm/persistence/source-addr"</f>
        <v>https://Enter BIG-IP Management address/mgmt/tm/ltm/persistence/source-addr</v>
      </c>
      <c r="E38" s="13" t="str">
        <f xml:space="preserve">  "{" &amp; CHAR(34) &amp; "name" &amp; CHAR(34) &amp; ":" &amp; CHAR(34) &amp; Sheet1!C$40 &amp; "-persist-sourceaddr" &amp;CHAR(34) &amp; "," &amp; CHAR(34) &amp; "defaultsFrom" &amp; CHAR(34) &amp; ":" &amp; CHAR(34) &amp; "source_addr" &amp; CHAR(34) &amp; "}"</f>
        <v>{"name":"f5customer-persist-sourceaddr","defaultsFrom":"source_addr"}</v>
      </c>
      <c r="H38" s="29">
        <v>42740.720057870371</v>
      </c>
      <c r="I38">
        <v>200</v>
      </c>
      <c r="J38" t="s">
        <v>92</v>
      </c>
    </row>
    <row r="39" spans="2:10" x14ac:dyDescent="0.25">
      <c r="B39" t="s">
        <v>52</v>
      </c>
      <c r="C39" t="s">
        <v>41</v>
      </c>
      <c r="D39" t="str">
        <f>"https://" &amp; Sheet1!C$12 &amp; "/mgmt/tm/ltm/monitor/http"</f>
        <v>https://Enter BIG-IP Management address/mgmt/tm/ltm/monitor/http</v>
      </c>
      <c r="E39" s="13" t="str">
        <f xml:space="preserve">  "{" &amp; CHAR(34) &amp; "name" &amp; CHAR(34) &amp; ":" &amp; CHAR(34) &amp; Sheet1!C$40 &amp; "-http-head" &amp;CHAR(34) &amp; "," &amp; CHAR(34) &amp; "defaultsFrom" &amp; CHAR(34) &amp; ":" &amp; CHAR(34) &amp; "http_head_f5" &amp; CHAR(34) &amp; "}"</f>
        <v>{"name":"f5customer-http-head","defaultsFrom":"http_head_f5"}</v>
      </c>
      <c r="H39" s="29">
        <v>42740.720057870371</v>
      </c>
      <c r="I39">
        <v>200</v>
      </c>
      <c r="J39" t="s">
        <v>75</v>
      </c>
    </row>
    <row r="40" spans="2:10" x14ac:dyDescent="0.25">
      <c r="B40" t="s">
        <v>53</v>
      </c>
      <c r="C40" t="s">
        <v>41</v>
      </c>
      <c r="D40" t="str">
        <f>"https://" &amp; Sheet1!C$12 &amp; "/mgmt/tm/ltm/monitor/https"</f>
        <v>https://Enter BIG-IP Management address/mgmt/tm/ltm/monitor/https</v>
      </c>
      <c r="E40" s="13" t="str">
        <f xml:space="preserve">  "{" &amp; CHAR(34) &amp; "name" &amp; CHAR(34) &amp; ":" &amp; CHAR(34) &amp; Sheet1!C$40 &amp; "-https-head" &amp;CHAR(34) &amp; "," &amp; CHAR(34) &amp; "defaultsFrom" &amp; CHAR(34) &amp; ":" &amp; CHAR(34) &amp; "https_head_f5" &amp; CHAR(34) &amp; "}"</f>
        <v>{"name":"f5customer-https-head","defaultsFrom":"https_head_f5"}</v>
      </c>
      <c r="H40" s="29">
        <v>42740.720069444447</v>
      </c>
      <c r="I40">
        <v>200</v>
      </c>
      <c r="J40" t="s">
        <v>76</v>
      </c>
    </row>
    <row r="41" spans="2:10" x14ac:dyDescent="0.25">
      <c r="B41" t="s">
        <v>54</v>
      </c>
      <c r="C41" t="s">
        <v>41</v>
      </c>
      <c r="D41" t="str">
        <f>"https://" &amp; Sheet1!C$12 &amp; "/mgmt/tm/ltm/monitor/tcp"</f>
        <v>https://Enter BIG-IP Management address/mgmt/tm/ltm/monitor/tcp</v>
      </c>
      <c r="E41" s="13" t="str">
        <f xml:space="preserve">  "{" &amp; CHAR(34) &amp; "name" &amp; CHAR(34) &amp; ":" &amp; CHAR(34) &amp; Sheet1!C$40 &amp; "-mon-tcp" &amp;CHAR(34) &amp; "," &amp; CHAR(34) &amp; "defaultsFrom" &amp; CHAR(34) &amp; ":" &amp; CHAR(34) &amp; "/Common/tcp" &amp; CHAR(34) &amp; "}"</f>
        <v>{"name":"f5customer-mon-tcp","defaultsFrom":"/Common/tcp"}</v>
      </c>
      <c r="H41" s="29">
        <v>42740.720069444447</v>
      </c>
      <c r="I41">
        <v>200</v>
      </c>
      <c r="J41" t="s">
        <v>77</v>
      </c>
    </row>
    <row r="42" spans="2:10" x14ac:dyDescent="0.25">
      <c r="E42" s="13"/>
    </row>
    <row r="43" spans="2:10" x14ac:dyDescent="0.25">
      <c r="B43" t="s">
        <v>55</v>
      </c>
      <c r="C43" t="s">
        <v>41</v>
      </c>
      <c r="D43" t="str">
        <f>"https://" &amp; Sheet1!C$12&amp; "/mgmt/tm/sys/config"</f>
        <v>https://Enter BIG-IP Management address/mgmt/tm/sys/config</v>
      </c>
      <c r="E43" s="13" t="str">
        <f ca="1">"{"&amp;CHAR(34)&amp;"command"&amp;CHAR(34)&amp;":"&amp;CHAR(34)&amp;"save"&amp;CHAR(34)&amp;","&amp;CHAR(34)&amp;"options"&amp;CHAR(34)&amp;":" &amp; "[{"&amp;CHAR(34)&amp;"file"&amp;CHAR(34)&amp;":"&amp;CHAR(34)&amp;Sheet1!C$11&amp; "-" &amp; TEXT(NOW(),"mm-dd-yyyy") &amp; ".scf"&amp;CHAR(34)&amp; "," &amp; CHAR(34) &amp; "passphrase" &amp;CHAR(34) &amp; ":" &amp; CHAR(34) &amp; "no-passphrase" &amp; CHAR(34) &amp; "}]"  &amp; "}"</f>
        <v>{"command":"save","options":[{"file":"Enter BIG-IP Hostname-01-11-2017.scf","passphrase":"no-passphrase"}]}</v>
      </c>
      <c r="H43" s="29">
        <v>42740.720960648148</v>
      </c>
      <c r="I43">
        <v>200</v>
      </c>
      <c r="J43" t="s">
        <v>98</v>
      </c>
    </row>
    <row r="44" spans="2:10" x14ac:dyDescent="0.25">
      <c r="B44" t="s">
        <v>56</v>
      </c>
      <c r="C44" t="s">
        <v>41</v>
      </c>
      <c r="D44" t="str">
        <f>"https://" &amp; Sheet1!C$12&amp; "/mgmt/tm/sys/ucs"</f>
        <v>https://Enter BIG-IP Management address/mgmt/tm/sys/ucs</v>
      </c>
      <c r="E44" s="13" t="str">
        <f ca="1">"{"&amp;CHAR(34)&amp;"command"&amp;CHAR(34)&amp;":"&amp;CHAR(34)&amp;"save"&amp;CHAR(34)&amp;","&amp;CHAR(34)&amp;"name"&amp;CHAR(34)&amp;":" &amp; CHAR(34)&amp;Sheet1!C$11 &amp;  "-" &amp; TEXT(NOW(),"mm-dd-yyyy") &amp;".ucs"&amp;CHAR(34)&amp; "}"</f>
        <v>{"command":"save","name":"Enter BIG-IP Hostname-01-11-2017.ucs"}</v>
      </c>
      <c r="H44" s="29">
        <v>42740.721261574072</v>
      </c>
      <c r="I44">
        <v>200</v>
      </c>
      <c r="J44" t="s">
        <v>99</v>
      </c>
    </row>
    <row r="46" spans="2:10" x14ac:dyDescent="0.25">
      <c r="B46" t="s">
        <v>57</v>
      </c>
      <c r="C46" t="s">
        <v>41</v>
      </c>
      <c r="D46" t="str">
        <f>"https://" &amp; Sheet1!C$12&amp; "/mgmt/tm/sys/config"</f>
        <v>https://Enter BIG-IP Management address/mgmt/tm/sys/config</v>
      </c>
      <c r="E46" s="13" t="str">
        <f xml:space="preserve"> "{" &amp; CHAR(34) &amp; "command" &amp; CHAR(34) &amp; ":" &amp; CHAR(34) &amp; "load" &amp; CHAR(34) &amp; "," &amp; CHAR(34) &amp; "name" &amp; CHAR(34) &amp; ":" &amp; CHAR(34)  &amp; "default" &amp; CHAR(34) &amp; "}"</f>
        <v>{"command":"load","name":"default"}</v>
      </c>
      <c r="H46" s="29">
        <v>42740.714108796295</v>
      </c>
      <c r="I46">
        <v>200</v>
      </c>
      <c r="J46" t="s">
        <v>94</v>
      </c>
    </row>
    <row r="48" spans="2:10" x14ac:dyDescent="0.25">
      <c r="B48" t="s">
        <v>74</v>
      </c>
      <c r="C48" t="s">
        <v>41</v>
      </c>
      <c r="D48" t="str">
        <f>"https://" &amp; Sheet1!C$12&amp; "/mgmt/tm/sys/config"</f>
        <v>https://Enter BIG-IP Management address/mgmt/tm/sys/config</v>
      </c>
      <c r="E48" s="13" t="str">
        <f>"{"&amp;CHAR(34)&amp;"command"&amp;CHAR(34)&amp;":"&amp;CHAR(34) &amp;"save"&amp; CHAR(34) &amp;"}"</f>
        <v>{"command":"save"}</v>
      </c>
      <c r="H48" s="29">
        <v>42740.72011574074</v>
      </c>
      <c r="I48">
        <v>200</v>
      </c>
      <c r="J48" t="s">
        <v>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0:C47"/>
  <sheetViews>
    <sheetView topLeftCell="A21" workbookViewId="0">
      <selection activeCell="B28" sqref="B28"/>
    </sheetView>
  </sheetViews>
  <sheetFormatPr defaultColWidth="11" defaultRowHeight="15.75" x14ac:dyDescent="0.25"/>
  <cols>
    <col min="2" max="2" width="40.125" customWidth="1"/>
    <col min="3" max="3" width="63" customWidth="1"/>
  </cols>
  <sheetData>
    <row r="10" spans="2:3" x14ac:dyDescent="0.25">
      <c r="B10" s="11" t="s">
        <v>32</v>
      </c>
    </row>
    <row r="11" spans="2:3" x14ac:dyDescent="0.25">
      <c r="B11" t="s">
        <v>33</v>
      </c>
      <c r="C11" s="13" t="str">
        <f xml:space="preserve"> "tmsh modify sys global-settings gui-setup disabled"</f>
        <v>tmsh modify sys global-settings gui-setup disabled</v>
      </c>
    </row>
    <row r="12" spans="2:3" x14ac:dyDescent="0.25">
      <c r="B12" t="s">
        <v>34</v>
      </c>
      <c r="C12" s="13" t="str">
        <f>"tmsh modify sys global-settings hostname " &amp; Sheet1!C11</f>
        <v>tmsh modify sys global-settings hostname Enter BIG-IP Hostname</v>
      </c>
    </row>
    <row r="13" spans="2:3" x14ac:dyDescent="0.25">
      <c r="C13" s="13"/>
    </row>
    <row r="14" spans="2:3" x14ac:dyDescent="0.25">
      <c r="B14" t="s">
        <v>35</v>
      </c>
      <c r="C14" s="13" t="str">
        <f>"tmsh modify sys dns name-servers add { " &amp; Sheet1!C16 &amp; "}"</f>
        <v>tmsh modify sys dns name-servers add { Enter DNS Resolver IP address}</v>
      </c>
    </row>
    <row r="15" spans="2:3" x14ac:dyDescent="0.25">
      <c r="B15" t="s">
        <v>36</v>
      </c>
      <c r="C15" s="13" t="str">
        <f>"tmsh modify sys ntp timezone " &amp; Sheet1!C17 &amp; " servers add { " &amp; Sheet1!C18 &amp; "}"</f>
        <v>tmsh modify sys ntp timezone Enter Timezone servers add { Enter NTP erver IP address}</v>
      </c>
    </row>
    <row r="16" spans="2:3" x14ac:dyDescent="0.25">
      <c r="B16" t="s">
        <v>61</v>
      </c>
      <c r="C16" s="13"/>
    </row>
    <row r="17" spans="2:3" x14ac:dyDescent="0.25">
      <c r="C17" s="13"/>
    </row>
    <row r="18" spans="2:3" x14ac:dyDescent="0.25">
      <c r="B18" t="s">
        <v>38</v>
      </c>
      <c r="C18" s="13" t="str">
        <f>"tmsh create net vlan " &amp;Sheet1!B23 &amp; " tag " &amp; Sheet1!C23 &amp; " interfaces add { " &amp; Sheet1!D23 &amp; " } "</f>
        <v xml:space="preserve">tmsh create net vlan ext tag 4094 interfaces add { 1.2 } </v>
      </c>
    </row>
    <row r="19" spans="2:3" x14ac:dyDescent="0.25">
      <c r="B19" t="s">
        <v>38</v>
      </c>
      <c r="C19" s="13" t="str">
        <f>"tmsh create net vlan " &amp;Sheet1!B24 &amp; " tag " &amp; Sheet1!C24 &amp; " interfaces add { " &amp; Sheet1!D24 &amp; " } "</f>
        <v xml:space="preserve">tmsh create net vlan int tag 4093 interfaces add { 1.1 } </v>
      </c>
    </row>
    <row r="20" spans="2:3" x14ac:dyDescent="0.25">
      <c r="B20" t="s">
        <v>38</v>
      </c>
      <c r="C20" s="13" t="str">
        <f>"tmsh create net vlan " &amp;Sheet1!B25 &amp; " tag " &amp; Sheet1!C25 &amp; " interfaces add { " &amp; Sheet1!D25 &amp; " } "</f>
        <v xml:space="preserve">tmsh create net vlan ha tag 4092 interfaces add { 1.3 } </v>
      </c>
    </row>
    <row r="21" spans="2:3" x14ac:dyDescent="0.25">
      <c r="C21" s="13"/>
    </row>
    <row r="22" spans="2:3" x14ac:dyDescent="0.25">
      <c r="B22" t="s">
        <v>39</v>
      </c>
      <c r="C22" s="13" t="str">
        <f>"tmsh create net self " &amp;Sheet1!B29 &amp; " address " &amp; Sheet1!C29 &amp; " vlan " &amp; Sheet1!D29 &amp; " allow-service " &amp; Sheet1!E29</f>
        <v>tmsh create net self ext-self address  vlan ext allow-service none</v>
      </c>
    </row>
    <row r="23" spans="2:3" x14ac:dyDescent="0.25">
      <c r="B23" t="s">
        <v>39</v>
      </c>
      <c r="C23" s="13" t="str">
        <f>"tmsh create net self " &amp;Sheet1!B30 &amp; " address " &amp; Sheet1!C30 &amp; " vlan " &amp; Sheet1!D30 &amp; " allow-service " &amp; Sheet1!E30</f>
        <v>tmsh create net self int-self address  vlan int allow-service none</v>
      </c>
    </row>
    <row r="24" spans="2:3" x14ac:dyDescent="0.25">
      <c r="B24" t="s">
        <v>39</v>
      </c>
      <c r="C24" s="13" t="str">
        <f>"tmsh create net self " &amp;Sheet1!B31 &amp; " address " &amp; Sheet1!C31 &amp; " vlan " &amp; Sheet1!D31 &amp; " allow-service " &amp; Sheet1!E31</f>
        <v>tmsh create net self ha-self address  vlan ha allow-service none</v>
      </c>
    </row>
    <row r="25" spans="2:3" x14ac:dyDescent="0.25">
      <c r="C25" s="13"/>
    </row>
    <row r="26" spans="2:3" x14ac:dyDescent="0.25">
      <c r="B26" t="s">
        <v>40</v>
      </c>
      <c r="C26" s="13" t="str">
        <f>"tmsh create net route " &amp; Sheet1!B35  &amp; " network " &amp;Sheet1!C35 &amp; "/" &amp; Sheet1!D35 &amp; " gw " &amp;Sheet1!E35</f>
        <v xml:space="preserve">tmsh create net route default network 0.0.0.0/0.0.0.0 gw </v>
      </c>
    </row>
    <row r="27" spans="2:3" x14ac:dyDescent="0.25">
      <c r="C27" s="13"/>
    </row>
    <row r="28" spans="2:3" x14ac:dyDescent="0.25">
      <c r="B28" t="s">
        <v>66</v>
      </c>
      <c r="C28" s="13" t="str">
        <f>"tmsh mv cm device bigip1 " &amp; Sheet1!C$11</f>
        <v>tmsh mv cm device bigip1 Enter BIG-IP Hostname</v>
      </c>
    </row>
    <row r="29" spans="2:3" x14ac:dyDescent="0.25">
      <c r="C29" s="13"/>
    </row>
    <row r="30" spans="2:3" x14ac:dyDescent="0.25">
      <c r="B30" t="s">
        <v>42</v>
      </c>
      <c r="C30" s="13" t="str">
        <f>"tmsh create ltm profile http " &amp; LOWER(Sheet1!C40) &amp; "-http defaults-from http insert-xforwarded-for enabled"</f>
        <v>tmsh create ltm profile http f5customer-http defaults-from http insert-xforwarded-for enabled</v>
      </c>
    </row>
    <row r="31" spans="2:3" x14ac:dyDescent="0.25">
      <c r="B31" t="s">
        <v>43</v>
      </c>
      <c r="C31" s="13" t="str">
        <f>"tmsh create ltm profile client-ssl " &amp; LOWER(Sheet1!C$40) &amp; "-clientssl defaults-from clientssl"</f>
        <v>tmsh create ltm profile client-ssl f5customer-clientssl defaults-from clientssl</v>
      </c>
    </row>
    <row r="32" spans="2:3" x14ac:dyDescent="0.25">
      <c r="B32" t="s">
        <v>44</v>
      </c>
      <c r="C32" s="13" t="str">
        <f>"tmsh create ltm profile server-ssl " &amp; LOWER(Sheet1!C$40) &amp; "-serverssl defaults-from serverssl"</f>
        <v>tmsh create ltm profile server-ssl f5customer-serverssl defaults-from serverssl</v>
      </c>
    </row>
    <row r="33" spans="2:3" x14ac:dyDescent="0.25">
      <c r="B33" t="s">
        <v>45</v>
      </c>
      <c r="C33" s="13" t="str">
        <f>"tmsh create ltm profile one-connect " &amp; LOWER(Sheet1!C$40) &amp; "-onceconnect defaults-from oneconnect "</f>
        <v xml:space="preserve">tmsh create ltm profile one-connect f5customer-onceconnect defaults-from oneconnect </v>
      </c>
    </row>
    <row r="34" spans="2:3" x14ac:dyDescent="0.25">
      <c r="B34" t="s">
        <v>46</v>
      </c>
      <c r="C34" s="13" t="str">
        <f>"tmsh create ltm profile tcp " &amp; LOWER(Sheet1!C$40) &amp; "-tcp-lan defaults-from tcp-lan-optimized"</f>
        <v>tmsh create ltm profile tcp f5customer-tcp-lan defaults-from tcp-lan-optimized</v>
      </c>
    </row>
    <row r="35" spans="2:3" x14ac:dyDescent="0.25">
      <c r="B35" t="s">
        <v>47</v>
      </c>
      <c r="C35" s="13" t="str">
        <f>"tmsh create ltm profile tcp" &amp; LOWER(Sheet1!C$40) &amp; "-tcp-wan defaults-from tcp-wan-optimized"</f>
        <v>tmsh create ltm profile tcpf5customer-tcp-wan defaults-from tcp-wan-optimized</v>
      </c>
    </row>
    <row r="36" spans="2:3" x14ac:dyDescent="0.25">
      <c r="B36" t="s">
        <v>48</v>
      </c>
      <c r="C36" s="13" t="str">
        <f>"tmsh create ltm profile udp " &amp; LOWER(Sheet1!C$40) &amp; "-udp defaults-from udp"</f>
        <v>tmsh create ltm profile udp f5customer-udp defaults-from udp</v>
      </c>
    </row>
    <row r="37" spans="2:3" x14ac:dyDescent="0.25">
      <c r="B37" t="s">
        <v>49</v>
      </c>
      <c r="C37" s="13" t="str">
        <f>"tmsh create ltm profile fastl4 " &amp; LOWER(Sheet1!C$40) &amp; "-fastl4 defaults-from fastL4"</f>
        <v>tmsh create ltm profile fastl4 f5customer-fastl4 defaults-from fastL4</v>
      </c>
    </row>
    <row r="38" spans="2:3" x14ac:dyDescent="0.25">
      <c r="B38" t="s">
        <v>50</v>
      </c>
      <c r="C38" s="13" t="str">
        <f>"tmsh create ltm persistence cookie " &amp; LOWER(Sheet1!C$40) &amp; "-persist-cookie defaults-from cookie"</f>
        <v>tmsh create ltm persistence cookie f5customer-persist-cookie defaults-from cookie</v>
      </c>
    </row>
    <row r="39" spans="2:3" x14ac:dyDescent="0.25">
      <c r="B39" t="s">
        <v>51</v>
      </c>
      <c r="C39" s="13" t="str">
        <f>"tmsh create ltm persistence  source-addr " &amp; LOWER(Sheet1!C$40) &amp; "-oersist-source defaults-from source_addr"</f>
        <v>tmsh create ltm persistence  source-addr f5customer-oersist-source defaults-from source_addr</v>
      </c>
    </row>
    <row r="40" spans="2:3" x14ac:dyDescent="0.25">
      <c r="B40" t="s">
        <v>52</v>
      </c>
      <c r="C40" s="13" t="str">
        <f>"tmsh create ltm monitor http " &amp; LOWER(Sheet1!C$40) &amp; "-mon-http defaults-from http_head_f5"</f>
        <v>tmsh create ltm monitor http f5customer-mon-http defaults-from http_head_f5</v>
      </c>
    </row>
    <row r="41" spans="2:3" x14ac:dyDescent="0.25">
      <c r="B41" t="s">
        <v>53</v>
      </c>
      <c r="C41" s="13" t="str">
        <f>"tmsh create ltm monitor https " &amp; LOWER(Sheet1!C$40) &amp; "-mon-https defaults-from https_head_f5"</f>
        <v>tmsh create ltm monitor https f5customer-mon-https defaults-from https_head_f5</v>
      </c>
    </row>
    <row r="42" spans="2:3" x14ac:dyDescent="0.25">
      <c r="B42" t="s">
        <v>54</v>
      </c>
      <c r="C42" s="13" t="str">
        <f>"tmsh create ltm monitor tcp " &amp; LOWER(Sheet1!C$40) &amp; "-mon-tcp defaults-from tcp"</f>
        <v>tmsh create ltm monitor tcp f5customer-mon-tcp defaults-from tcp</v>
      </c>
    </row>
    <row r="43" spans="2:3" x14ac:dyDescent="0.25">
      <c r="C43" s="13"/>
    </row>
    <row r="44" spans="2:3" x14ac:dyDescent="0.25">
      <c r="B44" t="s">
        <v>55</v>
      </c>
      <c r="C44" s="13" t="str">
        <f ca="1">"tmsh save sys config file " &amp; Sheet1!C$11 &amp; "-" &amp; TEXT(NOW(),"mm-dd-yyyy")&amp; ".scf passphrase no-passphrase"</f>
        <v>tmsh save sys config file Enter BIG-IP Hostname-01-11-2017.scf passphrase no-passphrase</v>
      </c>
    </row>
    <row r="45" spans="2:3" x14ac:dyDescent="0.25">
      <c r="B45" t="s">
        <v>62</v>
      </c>
      <c r="C45" s="13" t="str">
        <f ca="1">"tmsh save sys ucs " &amp; Sheet1!C$11 &amp;  "-" &amp; TEXT(NOW(),"mm-dd-yyyy") &amp; ".ucs"</f>
        <v>tmsh save sys ucs Enter BIG-IP Hostname-01-11-2017.ucs</v>
      </c>
    </row>
    <row r="46" spans="2:3" x14ac:dyDescent="0.25">
      <c r="C46" s="13"/>
    </row>
    <row r="47" spans="2:3" x14ac:dyDescent="0.25">
      <c r="B47" t="s">
        <v>65</v>
      </c>
      <c r="C47" s="13" t="str">
        <f>"tmsh load sys config default"</f>
        <v>tmsh load sys config default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C47"/>
  <sheetViews>
    <sheetView topLeftCell="B19" workbookViewId="0">
      <selection activeCell="C44" sqref="C44"/>
    </sheetView>
  </sheetViews>
  <sheetFormatPr defaultColWidth="11" defaultRowHeight="15.75" x14ac:dyDescent="0.25"/>
  <cols>
    <col min="2" max="2" width="45.625" customWidth="1"/>
    <col min="3" max="3" width="191.625" customWidth="1"/>
  </cols>
  <sheetData>
    <row r="4" spans="2:3" ht="16.5" thickBot="1" x14ac:dyDescent="0.3"/>
    <row r="5" spans="2:3" x14ac:dyDescent="0.25">
      <c r="B5" s="26" t="s">
        <v>64</v>
      </c>
    </row>
    <row r="6" spans="2:3" x14ac:dyDescent="0.25">
      <c r="B6" s="14" t="str">
        <f>CHAR(34) &amp; "Content-Type:application/json" &amp; CHAR(34)</f>
        <v>"Content-Type:application/json"</v>
      </c>
    </row>
    <row r="7" spans="2:3" x14ac:dyDescent="0.25">
      <c r="B7" s="14" t="str">
        <f>CHAR(34) &amp; "X-F5-Auth-Token:" &amp; Sheet1!C14 &amp; CHAR(34)</f>
        <v>"X-F5-Auth-Token:Enter BIG-IP Auth Token"</v>
      </c>
    </row>
    <row r="10" spans="2:3" x14ac:dyDescent="0.25">
      <c r="B10" s="11" t="s">
        <v>32</v>
      </c>
      <c r="C10" s="11" t="s">
        <v>60</v>
      </c>
    </row>
    <row r="11" spans="2:3" x14ac:dyDescent="0.25">
      <c r="B11" t="s">
        <v>33</v>
      </c>
      <c r="C11" s="13" t="str">
        <f>"curl -k -H " &amp; B$7 &amp; " -H " &amp;B$6 &amp; " -X "  &amp; REST!C11 &amp; " -d " &amp;  CHAR(39) &amp; REST!E11 &amp; CHAR(39) &amp; " " &amp; REST!D11</f>
        <v>curl -k -H "X-F5-Auth-Token:Enter BIG-IP Auth Token" -H "Content-Type:application/json" -X PATCH -d '{ "guiSetup":"disabled"}' https://Enter BIG-IP Management address/mgmt/tm/sys/global-settings</v>
      </c>
    </row>
    <row r="12" spans="2:3" x14ac:dyDescent="0.25">
      <c r="B12" t="s">
        <v>34</v>
      </c>
      <c r="C12" s="13" t="str">
        <f>"curl -k -H " &amp; B$7 &amp; " -H " &amp; B$6 &amp; " -X "  &amp; REST!C12 &amp; " -d " &amp;  CHAR(39) &amp; REST!E12 &amp; CHAR(39) &amp; " " &amp; REST!D12</f>
        <v>curl -k -H "X-F5-Auth-Token:Enter BIG-IP Auth Token" -H "Content-Type:application/json" -X PATCH -d '{"hostname":"Enter BIG-IP Hostname"}' https://Enter BIG-IP Management address/mgmt/tm/sys/global-settings</v>
      </c>
    </row>
    <row r="13" spans="2:3" x14ac:dyDescent="0.25">
      <c r="C13" s="13"/>
    </row>
    <row r="14" spans="2:3" x14ac:dyDescent="0.25">
      <c r="B14" t="s">
        <v>35</v>
      </c>
      <c r="C14" s="13" t="str">
        <f>"curl -k -H " &amp; B$7 &amp; " -H " &amp; B$6 &amp; " -X "  &amp; REST!C14 &amp; " -d " &amp;  CHAR(39) &amp; REST!E14 &amp; CHAR(39) &amp; " " &amp; REST!D14</f>
        <v>curl -k -H "X-F5-Auth-Token:Enter BIG-IP Auth Token" -H "Content-Type:application/json" -X PATCH -d '{"nameServers": ["Enter DNS Resolver IP address"]}' https://Enter BIG-IP Management address/mgmt/tm/sys/dns</v>
      </c>
    </row>
    <row r="15" spans="2:3" x14ac:dyDescent="0.25">
      <c r="B15" t="s">
        <v>36</v>
      </c>
      <c r="C15" s="13" t="str">
        <f>"curl -k -H " &amp; B$7 &amp; " -H " &amp; B$6 &amp; " -X "  &amp; REST!C15 &amp; " -d " &amp;  CHAR(39) &amp; REST!E15 &amp; CHAR(39) &amp; " " &amp; REST!D15</f>
        <v>curl -k -H "X-F5-Auth-Token:Enter BIG-IP Auth Token" -H "Content-Type:application/json" -X PATCH -d '{"timezone":"Enter Timezone","servers":["Enter NTP erver IP address"]}' https://Enter BIG-IP Management address/mgmt/tm/sys/ntp</v>
      </c>
    </row>
    <row r="16" spans="2:3" x14ac:dyDescent="0.25">
      <c r="C16" s="13"/>
    </row>
    <row r="17" spans="2:3" x14ac:dyDescent="0.25">
      <c r="B17" t="s">
        <v>38</v>
      </c>
      <c r="C17" s="13" t="str">
        <f>"curl -k -H " &amp; B$7 &amp; " -H " &amp; B$6 &amp; " -X "  &amp; REST!C17 &amp; " -d " &amp;  CHAR(39) &amp; REST!E17 &amp; CHAR(39) &amp; " " &amp; REST!D17</f>
        <v>curl -k -H "X-F5-Auth-Token:Enter BIG-IP Auth Token" -H "Content-Type:application/json" -X POST -d '{"name":"ext","interfaces":"1.2","tag":4094}' https://Enter BIG-IP Management address/mgmt/tm/net/vlan</v>
      </c>
    </row>
    <row r="18" spans="2:3" x14ac:dyDescent="0.25">
      <c r="B18" t="s">
        <v>38</v>
      </c>
      <c r="C18" s="13" t="str">
        <f>"curl -k -H " &amp; B$7 &amp; " -H " &amp; B$6 &amp; " -X "  &amp; REST!C18 &amp; " -d " &amp;  CHAR(39) &amp; REST!E18 &amp; CHAR(39) &amp; " " &amp; REST!D18</f>
        <v>curl -k -H "X-F5-Auth-Token:Enter BIG-IP Auth Token" -H "Content-Type:application/json" -X POST -d '{"name":"int","interfaces":"1.1","tag":4093}' https://Enter BIG-IP Management address/mgmt/tm/net/vlan</v>
      </c>
    </row>
    <row r="19" spans="2:3" x14ac:dyDescent="0.25">
      <c r="B19" t="s">
        <v>38</v>
      </c>
      <c r="C19" s="13" t="str">
        <f>"curl -k -H " &amp; B$7 &amp; " -H " &amp; B$6 &amp; " -X "  &amp; REST!C19 &amp; " -d " &amp;  CHAR(39) &amp; REST!E19 &amp; CHAR(39) &amp; " " &amp; REST!D19</f>
        <v>curl -k -H "X-F5-Auth-Token:Enter BIG-IP Auth Token" -H "Content-Type:application/json" -X POST -d '{"name":"ha","interfaces":"1.3","tag":4092}' https://Enter BIG-IP Management address/mgmt/tm/net/vlan</v>
      </c>
    </row>
    <row r="20" spans="2:3" x14ac:dyDescent="0.25">
      <c r="C20" s="13"/>
    </row>
    <row r="21" spans="2:3" x14ac:dyDescent="0.25">
      <c r="B21" t="s">
        <v>39</v>
      </c>
      <c r="C21" s="13" t="str">
        <f>"curl -k -H " &amp; B$7 &amp; " -H " &amp; B$6 &amp; " -X "  &amp; REST!C21 &amp; " -d " &amp;  CHAR(39) &amp; REST!E21 &amp; CHAR(39) &amp; " " &amp; REST!D21</f>
        <v>curl -k -H "X-F5-Auth-Token:Enter BIG-IP Auth Token" -H "Content-Type:application/json" -X POST -d '{"name" : "ext-self","address" : "","vlan" : "ext","allow-service" : "none"}' https://Enter BIG-IP Management address/mgmt/tm/net/self</v>
      </c>
    </row>
    <row r="22" spans="2:3" x14ac:dyDescent="0.25">
      <c r="B22" t="s">
        <v>39</v>
      </c>
      <c r="C22" s="13" t="str">
        <f>"curl -k -H " &amp; B$7 &amp; " -H " &amp; B$6 &amp; " -X "  &amp; REST!C22 &amp; " -d " &amp;  CHAR(39) &amp; REST!E22 &amp; CHAR(39) &amp; " " &amp; REST!D22</f>
        <v>curl -k -H "X-F5-Auth-Token:Enter BIG-IP Auth Token" -H "Content-Type:application/json" -X POST -d '{"name" : "int-self","address" : "","vlan" : "int","allow-service" : "none"}' https://Enter BIG-IP Management address/mgmt/tm/net/self</v>
      </c>
    </row>
    <row r="23" spans="2:3" x14ac:dyDescent="0.25">
      <c r="B23" t="s">
        <v>39</v>
      </c>
      <c r="C23" s="13" t="str">
        <f>"curl -k -H " &amp; B$7 &amp; " -H " &amp; B$6 &amp; " -X "  &amp; REST!C23 &amp; " -d " &amp;  CHAR(39) &amp; REST!E23 &amp; CHAR(39) &amp; " " &amp; REST!D23</f>
        <v>curl -k -H "X-F5-Auth-Token:Enter BIG-IP Auth Token" -H "Content-Type:application/json" -X POST -d '{"name" : "ha-self","address" : "","vlan" : "ha","allow-service" : "none"}' https://Enter BIG-IP Management address/mgmt/tm/net/self</v>
      </c>
    </row>
    <row r="24" spans="2:3" x14ac:dyDescent="0.25">
      <c r="C24" s="13"/>
    </row>
    <row r="25" spans="2:3" x14ac:dyDescent="0.25">
      <c r="B25" t="s">
        <v>40</v>
      </c>
      <c r="C25" s="13" t="str">
        <f>"curl -k -H " &amp; B$7 &amp; " -H " &amp; B$6 &amp; " -X "  &amp; REST!C25 &amp; " -d " &amp;  CHAR(39) &amp; REST!E25 &amp; CHAR(39) &amp; " " &amp; REST!D25</f>
        <v>curl -k -H "X-F5-Auth-Token:Enter BIG-IP Auth Token" -H "Content-Type:application/json" -X POST -d '{"name":"default","network":"0.0.0.0/0.0.0.0","gw":"","partition":"Common"}' https://Enter BIG-IP Management address/mgmt/tm/net/route</v>
      </c>
    </row>
    <row r="26" spans="2:3" x14ac:dyDescent="0.25">
      <c r="C26" s="13"/>
    </row>
    <row r="27" spans="2:3" x14ac:dyDescent="0.25">
      <c r="B27" t="s">
        <v>66</v>
      </c>
      <c r="C27" s="13" t="str">
        <f>"curl -k -H " &amp; B$7 &amp; " -H " &amp; B$6 &amp; " -X "  &amp; REST!C27 &amp; " -d " &amp;  CHAR(39) &amp; REST!E27 &amp; CHAR(39) &amp; " " &amp; REST!D27</f>
        <v>curl -k -H "X-F5-Auth-Token:Enter BIG-IP Auth Token" -H "Content-Type:application/json" -X POST -d '{"command":"mv","name":"bigip1","target":"Enter BIG-IP Hostname"}' https://Enter BIG-IP Management address/mgmt/tm/cm/device</v>
      </c>
    </row>
    <row r="28" spans="2:3" x14ac:dyDescent="0.25">
      <c r="C28" s="13"/>
    </row>
    <row r="29" spans="2:3" x14ac:dyDescent="0.25">
      <c r="B29" t="s">
        <v>42</v>
      </c>
      <c r="C29" s="13" t="str">
        <f>"curl -k -H " &amp; B$7 &amp; " -H " &amp; B$6 &amp; " -X "  &amp; REST!C29 &amp; " -d " &amp;  CHAR(39) &amp; REST!E29 &amp; CHAR(39) &amp; " " &amp; REST!D29</f>
        <v>curl -k -H "X-F5-Auth-Token:Enter BIG-IP Auth Token" -H "Content-Type:application/json" -X POST -d '{"name":"f5customer-http","defaultsFrom":"http","insertXforwardedFor":"enabled"}' https://Enter BIG-IP Management address/mgmt/tm/ltm/profile/http</v>
      </c>
    </row>
    <row r="30" spans="2:3" x14ac:dyDescent="0.25">
      <c r="B30" t="s">
        <v>43</v>
      </c>
      <c r="C30" s="13" t="str">
        <f>"curl -k -H " &amp; B$7 &amp; " -H " &amp; B$6 &amp; " -X "  &amp; REST!C30 &amp; " -d " &amp;  CHAR(39) &amp; REST!E30 &amp; CHAR(39) &amp; " " &amp; REST!D30</f>
        <v>curl -k -H "X-F5-Auth-Token:Enter BIG-IP Auth Token" -H "Content-Type:application/json" -X POST -d '{"name":"f5customer-clientssl","defaultsFrom":"clientssl"}' https://Enter BIG-IP Management address/mgmt/tm/ltm/profile/client-ssl</v>
      </c>
    </row>
    <row r="31" spans="2:3" x14ac:dyDescent="0.25">
      <c r="B31" t="s">
        <v>44</v>
      </c>
      <c r="C31" s="13" t="str">
        <f>"curl -k -H " &amp; B$7 &amp; " -H " &amp; B$6 &amp; " -X "  &amp; REST!C31 &amp; " -d " &amp;  CHAR(39) &amp; REST!E31 &amp; CHAR(39) &amp; " " &amp; REST!D31</f>
        <v>curl -k -H "X-F5-Auth-Token:Enter BIG-IP Auth Token" -H "Content-Type:application/json" -X POST -d '{"name":"f5customer-serverssl","defaultsFrom":"serverssl"}' https://Enter BIG-IP Management address/mgmt/tm/ltm/profile/server-ssl</v>
      </c>
    </row>
    <row r="32" spans="2:3" x14ac:dyDescent="0.25">
      <c r="B32" t="s">
        <v>45</v>
      </c>
      <c r="C32" s="13" t="str">
        <f>"curl -k -H " &amp; B$7 &amp; " -H " &amp; B$6 &amp; " -X "  &amp; REST!C32 &amp; " -d " &amp;  CHAR(39) &amp; REST!E32 &amp; CHAR(39) &amp; " " &amp; REST!D32</f>
        <v>curl -k -H "X-F5-Auth-Token:Enter BIG-IP Auth Token" -H "Content-Type:application/json" -X POST -d '{"name":"f5customer-oneconnect","defaultsFrom":"oneconnect"}' https://Enter BIG-IP Management address/mgmt/tm/ltm/profile/one-connect</v>
      </c>
    </row>
    <row r="33" spans="2:3" x14ac:dyDescent="0.25">
      <c r="B33" t="s">
        <v>46</v>
      </c>
      <c r="C33" s="13" t="str">
        <f>"curl -k -H " &amp; B$7 &amp; " -H " &amp; B$6 &amp; " -X "  &amp; REST!C33 &amp; " -d " &amp;  CHAR(39) &amp; REST!E33 &amp; CHAR(39) &amp; " " &amp; REST!D33</f>
        <v>curl -k -H "X-F5-Auth-Token:Enter BIG-IP Auth Token" -H "Content-Type:application/json" -X POST -d '{"name":"f5customer-tcp-lan","defaultsFrom":"tcp-lan-optimized"}' https://Enter BIG-IP Management address/mgmt/tm/ltm/profile/tcp</v>
      </c>
    </row>
    <row r="34" spans="2:3" x14ac:dyDescent="0.25">
      <c r="B34" t="s">
        <v>47</v>
      </c>
      <c r="C34" s="13" t="str">
        <f>"curl -k -H " &amp; B$7 &amp; " -H " &amp; B$6 &amp; " -X "  &amp; REST!C34 &amp; " -d " &amp;  CHAR(39) &amp; REST!E34 &amp; CHAR(39) &amp; " " &amp; REST!D34</f>
        <v>curl -k -H "X-F5-Auth-Token:Enter BIG-IP Auth Token" -H "Content-Type:application/json" -X POST -d '{"name":"f5customer-tcp-wan","defaultsFrom":"tcp-wan-optimized"}' https://Enter BIG-IP Management address/mgmt/tm/ltm/profile/tcp</v>
      </c>
    </row>
    <row r="35" spans="2:3" x14ac:dyDescent="0.25">
      <c r="B35" t="s">
        <v>48</v>
      </c>
      <c r="C35" s="13" t="str">
        <f>"curl -k -H " &amp; B$7 &amp; " -H " &amp; B$6 &amp; " -X "  &amp; REST!C35 &amp; " -d " &amp;  CHAR(39) &amp; REST!E35 &amp; CHAR(39) &amp; " " &amp; REST!D35</f>
        <v>curl -k -H "X-F5-Auth-Token:Enter BIG-IP Auth Token" -H "Content-Type:application/json" -X POST -d '{"name":"f5customer-udp","defaultsFrom":"udp"}' https://Enter BIG-IP Management address/mgmt/tm/ltm/profile/udp</v>
      </c>
    </row>
    <row r="36" spans="2:3" x14ac:dyDescent="0.25">
      <c r="B36" t="s">
        <v>49</v>
      </c>
      <c r="C36" s="13" t="str">
        <f>"curl -k -H " &amp; B$7 &amp; " -H " &amp; B$6 &amp; " -X "  &amp; REST!C36 &amp; " -d " &amp;  CHAR(39) &amp; REST!E36 &amp; CHAR(39) &amp; " " &amp; REST!D36</f>
        <v>curl -k -H "X-F5-Auth-Token:Enter BIG-IP Auth Token" -H "Content-Type:application/json" -X POST -d '{"name":"f5customer-fastl4","defaultsFrom":"fastL4"}' https://Enter BIG-IP Management address/mgmt/tm/ltm/profile/fastl4</v>
      </c>
    </row>
    <row r="37" spans="2:3" x14ac:dyDescent="0.25">
      <c r="B37" t="s">
        <v>50</v>
      </c>
      <c r="C37" s="13" t="str">
        <f>"curl -k -H " &amp; B$7 &amp; " -H " &amp; B$6 &amp; " -X "  &amp; REST!C37 &amp; " -d " &amp;  CHAR(39) &amp; REST!E37 &amp; CHAR(39) &amp; " " &amp; REST!D37</f>
        <v>curl -k -H "X-F5-Auth-Token:Enter BIG-IP Auth Token" -H "Content-Type:application/json" -X POST -d '{"name":"f5customer-persist-cookie","defaultsFrom":"cookie"}' https://Enter BIG-IP Management address/mgmt/tm/ltm/persistence/cookie</v>
      </c>
    </row>
    <row r="38" spans="2:3" x14ac:dyDescent="0.25">
      <c r="B38" t="s">
        <v>51</v>
      </c>
      <c r="C38" s="13" t="str">
        <f>"curl -k -H " &amp; B$7 &amp; " -H " &amp; B$6 &amp; " -X "  &amp; REST!C38 &amp; " -d " &amp;  CHAR(39) &amp; REST!E38 &amp; CHAR(39) &amp; " " &amp; REST!D38</f>
        <v>curl -k -H "X-F5-Auth-Token:Enter BIG-IP Auth Token" -H "Content-Type:application/json" -X POST -d '{"name":"f5customer-persist-sourceaddr","defaultsFrom":"source_addr"}' https://Enter BIG-IP Management address/mgmt/tm/ltm/persistence/source-addr</v>
      </c>
    </row>
    <row r="39" spans="2:3" x14ac:dyDescent="0.25">
      <c r="B39" t="s">
        <v>52</v>
      </c>
      <c r="C39" s="13" t="str">
        <f>"curl -k -H " &amp; B$7 &amp; " -H " &amp; B$6 &amp; " -X "  &amp; REST!C39 &amp; " -d " &amp;  CHAR(39) &amp; REST!E39 &amp; CHAR(39) &amp; " " &amp; REST!D39</f>
        <v>curl -k -H "X-F5-Auth-Token:Enter BIG-IP Auth Token" -H "Content-Type:application/json" -X POST -d '{"name":"f5customer-http-head","defaultsFrom":"http_head_f5"}' https://Enter BIG-IP Management address/mgmt/tm/ltm/monitor/http</v>
      </c>
    </row>
    <row r="40" spans="2:3" x14ac:dyDescent="0.25">
      <c r="B40" t="s">
        <v>53</v>
      </c>
      <c r="C40" s="13" t="str">
        <f>"curl -k -H " &amp; B$7 &amp; " -H " &amp; B$6 &amp; " -X "  &amp; REST!C40 &amp; " -d " &amp;  CHAR(39) &amp; REST!E40 &amp; CHAR(39) &amp; " " &amp; REST!D40</f>
        <v>curl -k -H "X-F5-Auth-Token:Enter BIG-IP Auth Token" -H "Content-Type:application/json" -X POST -d '{"name":"f5customer-https-head","defaultsFrom":"https_head_f5"}' https://Enter BIG-IP Management address/mgmt/tm/ltm/monitor/https</v>
      </c>
    </row>
    <row r="41" spans="2:3" x14ac:dyDescent="0.25">
      <c r="B41" t="s">
        <v>54</v>
      </c>
      <c r="C41" s="13" t="str">
        <f>"curl -k -H " &amp; B$7 &amp; " -H " &amp; B$6 &amp; " -X "  &amp; REST!C41 &amp; " -d " &amp;  CHAR(39) &amp; REST!E41 &amp; CHAR(39) &amp; " " &amp; REST!D41</f>
        <v>curl -k -H "X-F5-Auth-Token:Enter BIG-IP Auth Token" -H "Content-Type:application/json" -X POST -d '{"name":"f5customer-mon-tcp","defaultsFrom":"/Common/tcp"}' https://Enter BIG-IP Management address/mgmt/tm/ltm/monitor/tcp</v>
      </c>
    </row>
    <row r="42" spans="2:3" x14ac:dyDescent="0.25">
      <c r="C42" s="13"/>
    </row>
    <row r="43" spans="2:3" x14ac:dyDescent="0.25">
      <c r="C43" s="13"/>
    </row>
    <row r="44" spans="2:3" x14ac:dyDescent="0.25">
      <c r="B44" t="s">
        <v>55</v>
      </c>
      <c r="C44" s="13" t="str">
        <f ca="1">"curl -k -H " &amp; B$7 &amp; " -H " &amp; B$6 &amp; " -X "  &amp; REST!C43 &amp; " -d " &amp;  CHAR(39) &amp; REST!E43 &amp; CHAR(39) &amp; " " &amp; REST!D43</f>
        <v>curl -k -H "X-F5-Auth-Token:Enter BIG-IP Auth Token" -H "Content-Type:application/json" -X POST -d '{"command":"save","options":[{"file":"Enter BIG-IP Hostname-01-11-2017.scf","passphrase":"no-passphrase"}]}' https://Enter BIG-IP Management address/mgmt/tm/sys/config</v>
      </c>
    </row>
    <row r="45" spans="2:3" x14ac:dyDescent="0.25">
      <c r="B45" t="s">
        <v>62</v>
      </c>
      <c r="C45" s="13" t="str">
        <f ca="1">"curl -k -H " &amp; B$7 &amp; " -H " &amp; B$6 &amp; " -X "  &amp; REST!C44 &amp; " -d " &amp;  CHAR(39) &amp; REST!E44 &amp; CHAR(39) &amp; " " &amp; REST!D44</f>
        <v>curl -k -H "X-F5-Auth-Token:Enter BIG-IP Auth Token" -H "Content-Type:application/json" -X POST -d '{"command":"save","name":"Enter BIG-IP Hostname-01-11-2017.ucs"}' https://Enter BIG-IP Management address/mgmt/tm/sys/ucs</v>
      </c>
    </row>
    <row r="46" spans="2:3" x14ac:dyDescent="0.25">
      <c r="C46" s="13"/>
    </row>
    <row r="47" spans="2:3" x14ac:dyDescent="0.25">
      <c r="B47" t="s">
        <v>63</v>
      </c>
      <c r="C47" s="13" t="str">
        <f>"curl -k -H " &amp; B$7 &amp; " -H " &amp; B$6 &amp; " -X "  &amp; REST!C46 &amp; " -d " &amp;  CHAR(39) &amp; REST!E46 &amp; CHAR(39) &amp; " " &amp; REST!D46</f>
        <v>curl -k -H "X-F5-Auth-Token:Enter BIG-IP Auth Token" -H "Content-Type:application/json" -X POST -d '{"command":"load","name":"default"}' https://Enter BIG-IP Management address/mgmt/tm/sys/config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REST</vt:lpstr>
      <vt:lpstr>TMSH</vt:lpstr>
      <vt:lpstr>CURL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Anthony Gerace</cp:lastModifiedBy>
  <dcterms:created xsi:type="dcterms:W3CDTF">2017-01-04T14:35:21Z</dcterms:created>
  <dcterms:modified xsi:type="dcterms:W3CDTF">2017-01-11T20:13:39Z</dcterms:modified>
</cp:coreProperties>
</file>